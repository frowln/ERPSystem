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Default Extension="wdp" ContentType="image/vnd.ms-photo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showInkAnnotation="0" codeName="ЭтаКнига" defaultThemeVersion="124226"/>
  <bookViews>
    <workbookView xWindow="-120" yWindow="-120" windowWidth="29040" windowHeight="15840" tabRatio="695"/>
  </bookViews>
  <sheets>
    <sheet name="СПЛИТ-СИСТЕМЫ" sheetId="47" r:id="rId1"/>
    <sheet name="МОБИЛЬНЫЕ " sheetId="48" r:id="rId2"/>
    <sheet name="Аксессуары для МК" sheetId="49" r:id="rId3"/>
  </sheets>
  <definedNames>
    <definedName name="_xlnm.Print_Area" localSheetId="2">'Аксессуары для МК'!$A$1:$M$20</definedName>
    <definedName name="_xlnm.Print_Area" localSheetId="1">'МОБИЛЬНЫЕ '!$A$1:$N$20</definedName>
    <definedName name="_xlnm.Print_Area" localSheetId="0">'СПЛИТ-СИСТЕМЫ'!$B$1:$Q$44</definedName>
    <definedName name="скидка_на_VRF_Приточные_установки" localSheetId="2">#REF!</definedName>
    <definedName name="скидка_на_VRF_Приточные_установки" localSheetId="1">#REF!</definedName>
    <definedName name="скидка_на_VRF_Приточные_установки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" i="49"/>
  <c r="N17" i="48"/>
  <c r="N16"/>
  <c r="N15"/>
  <c r="M34" i="47" l="1"/>
  <c r="M35" s="1"/>
  <c r="M30"/>
  <c r="M31" s="1"/>
  <c r="M36"/>
  <c r="M37" s="1"/>
  <c r="M32"/>
  <c r="M33" s="1"/>
  <c r="M28"/>
  <c r="M29" s="1"/>
  <c r="M18"/>
  <c r="M16"/>
  <c r="M14"/>
  <c r="Q40" l="1"/>
  <c r="L18" l="1"/>
  <c r="L19" s="1"/>
  <c r="K18"/>
  <c r="K19" s="1"/>
  <c r="L16"/>
  <c r="L17" s="1"/>
  <c r="K16"/>
  <c r="K17" s="1"/>
  <c r="L14"/>
  <c r="L15" s="1"/>
  <c r="K14"/>
  <c r="K15" s="1"/>
  <c r="L36" l="1"/>
  <c r="L37" s="1"/>
  <c r="K36"/>
  <c r="K37" s="1"/>
  <c r="L34"/>
  <c r="L35" s="1"/>
  <c r="K34"/>
  <c r="K35" s="1"/>
  <c r="L32"/>
  <c r="L33" s="1"/>
  <c r="K32"/>
  <c r="K33" s="1"/>
  <c r="L30"/>
  <c r="L31" s="1"/>
  <c r="K30"/>
  <c r="K31" s="1"/>
  <c r="L28"/>
  <c r="L29" s="1"/>
  <c r="K28"/>
  <c r="K29" s="1"/>
  <c r="Q30" l="1"/>
  <c r="Q32"/>
  <c r="Q34"/>
  <c r="Q36"/>
  <c r="Q28"/>
  <c r="Q16"/>
  <c r="M17" s="1"/>
  <c r="Q18"/>
  <c r="M19" s="1"/>
  <c r="Q14"/>
  <c r="M15" s="1"/>
</calcChain>
</file>

<file path=xl/sharedStrings.xml><?xml version="1.0" encoding="utf-8"?>
<sst xmlns="http://schemas.openxmlformats.org/spreadsheetml/2006/main" count="226" uniqueCount="165">
  <si>
    <t>Мощность, кВт</t>
  </si>
  <si>
    <t>Габариты блока (ДхВхГ), мм</t>
  </si>
  <si>
    <t>Уров. шума ДБ(A)</t>
  </si>
  <si>
    <t>охл.</t>
  </si>
  <si>
    <t>нагр.</t>
  </si>
  <si>
    <t>A/A</t>
  </si>
  <si>
    <t xml:space="preserve">Класс энергоэф- фективности </t>
  </si>
  <si>
    <t>РИЦ, руб</t>
  </si>
  <si>
    <t>КОД</t>
  </si>
  <si>
    <t>АРТИКУЛ</t>
  </si>
  <si>
    <t xml:space="preserve">Модель </t>
  </si>
  <si>
    <t>Вес нетто / брутто, кг</t>
  </si>
  <si>
    <t>РРЦ, руб. за блок</t>
  </si>
  <si>
    <t>РИЦ, руб за блок</t>
  </si>
  <si>
    <t>Ваша Спец цена, руб</t>
  </si>
  <si>
    <t>КЛАССИЧЕСКИЕ СПЛИТ-СИСТЕМЫ</t>
  </si>
  <si>
    <t>ИНВЕРТОРНЫЕ СПЛИТ-СИСТЕМЫ</t>
  </si>
  <si>
    <t>7,5/9,5</t>
  </si>
  <si>
    <r>
      <t>§</t>
    </r>
    <r>
      <rPr>
        <b/>
        <sz val="12"/>
        <rFont val="Calibri"/>
        <family val="2"/>
        <charset val="204"/>
      </rPr>
      <t>А</t>
    </r>
    <r>
      <rPr>
        <sz val="12"/>
        <rFont val="Calibri"/>
        <family val="2"/>
        <charset val="204"/>
      </rPr>
      <t xml:space="preserve"> класс энергоэффективности</t>
    </r>
  </si>
  <si>
    <r>
      <t>§</t>
    </r>
    <r>
      <rPr>
        <sz val="12"/>
        <rFont val="Calibri"/>
        <family val="2"/>
        <charset val="204"/>
      </rPr>
      <t xml:space="preserve">Скрытый </t>
    </r>
    <r>
      <rPr>
        <b/>
        <sz val="12"/>
        <rFont val="Calibri"/>
        <family val="2"/>
        <charset val="204"/>
      </rPr>
      <t>LED</t>
    </r>
    <r>
      <rPr>
        <sz val="12"/>
        <rFont val="Calibri"/>
        <family val="2"/>
        <charset val="204"/>
      </rPr>
      <t>-дисплей</t>
    </r>
  </si>
  <si>
    <r>
      <t>§</t>
    </r>
    <r>
      <rPr>
        <sz val="12"/>
        <rFont val="Calibri"/>
        <family val="2"/>
        <charset val="204"/>
      </rPr>
      <t xml:space="preserve">Ночной режим </t>
    </r>
    <r>
      <rPr>
        <b/>
        <sz val="12"/>
        <rFont val="Calibri"/>
        <family val="2"/>
        <charset val="204"/>
      </rPr>
      <t>SLEEP</t>
    </r>
  </si>
  <si>
    <r>
      <t>§</t>
    </r>
    <r>
      <rPr>
        <sz val="12"/>
        <rFont val="Calibri"/>
        <family val="2"/>
        <charset val="204"/>
      </rPr>
      <t xml:space="preserve">Режим </t>
    </r>
    <r>
      <rPr>
        <b/>
        <sz val="12"/>
        <rFont val="Calibri"/>
        <family val="2"/>
        <charset val="204"/>
      </rPr>
      <t>TURBO</t>
    </r>
  </si>
  <si>
    <t>РРЦ, руб комплект</t>
  </si>
  <si>
    <t>ВАША СКИДКА ОТ ДИЛЕРСКОЙ ЦЕНЫ</t>
  </si>
  <si>
    <t>Дилерская цена, руб</t>
  </si>
  <si>
    <t>Дилерская цена, руб за блок</t>
  </si>
  <si>
    <t>698×255×190</t>
  </si>
  <si>
    <t>712×459×276</t>
  </si>
  <si>
    <t>6,5 / 8,5</t>
  </si>
  <si>
    <t>3,40 (1,00-3,81)</t>
  </si>
  <si>
    <t>3,54 (1,02-3,96)</t>
  </si>
  <si>
    <t>777×250×201</t>
  </si>
  <si>
    <r>
      <t>§</t>
    </r>
    <r>
      <rPr>
        <b/>
        <sz val="12"/>
        <rFont val="Calibri"/>
        <family val="2"/>
        <charset val="204"/>
      </rPr>
      <t>Антикоррозийное покрытие ламелей теплообменников BLUE FIN</t>
    </r>
  </si>
  <si>
    <r>
      <t>§</t>
    </r>
    <r>
      <rPr>
        <sz val="12"/>
        <rFont val="Calibri"/>
        <family val="2"/>
        <charset val="204"/>
        <scheme val="minor"/>
      </rPr>
      <t xml:space="preserve">Дополнительная шумоизоляция компрессора </t>
    </r>
  </si>
  <si>
    <t>24/27/29/33/34</t>
  </si>
  <si>
    <t>24/27/29/33/35</t>
  </si>
  <si>
    <t>27/30/33/36/38</t>
  </si>
  <si>
    <t>33/37/38/41/43</t>
  </si>
  <si>
    <t>910×294×206</t>
  </si>
  <si>
    <t>777×498×290</t>
  </si>
  <si>
    <t>795×549×305</t>
  </si>
  <si>
    <r>
      <t>§</t>
    </r>
    <r>
      <rPr>
        <sz val="12"/>
        <rFont val="Calibri"/>
        <family val="2"/>
        <charset val="204"/>
      </rPr>
      <t xml:space="preserve">Озонобезопасный хладагент </t>
    </r>
    <r>
      <rPr>
        <b/>
        <sz val="12"/>
        <rFont val="Calibri"/>
        <family val="2"/>
        <charset val="204"/>
      </rPr>
      <t>R32</t>
    </r>
  </si>
  <si>
    <t xml:space="preserve">НС-1595936 </t>
  </si>
  <si>
    <t>KVS-IRAD07CH/IN</t>
  </si>
  <si>
    <t>KVS-IRAD07CH/OUT</t>
  </si>
  <si>
    <t>KVS-IRAD09CH/IN</t>
  </si>
  <si>
    <t>KVS-IRAD09CH/OUT</t>
  </si>
  <si>
    <t>KVS-IRAD07CH</t>
  </si>
  <si>
    <t>KVS-IRAD09CH</t>
  </si>
  <si>
    <t>KVS-IRAD12CH/IN</t>
  </si>
  <si>
    <t>KVS-IRAD12CH/OUT</t>
  </si>
  <si>
    <t>KVS-IRAD12CH</t>
  </si>
  <si>
    <t>2,10 (0,60-2,80)</t>
  </si>
  <si>
    <t>2,30 (0,60-2,95)</t>
  </si>
  <si>
    <t>2,55 (0,70-3,66)</t>
  </si>
  <si>
    <t>2,72 (0,70-3,66)</t>
  </si>
  <si>
    <t>24/27/32/35/38</t>
  </si>
  <si>
    <t>26/28/33/37/39</t>
  </si>
  <si>
    <t>698х255х190</t>
  </si>
  <si>
    <t>712х459х276</t>
  </si>
  <si>
    <t>777х250х201</t>
  </si>
  <si>
    <t>6,5/8,5</t>
  </si>
  <si>
    <t>19,0/20,5</t>
  </si>
  <si>
    <t>19,5/21,0</t>
  </si>
  <si>
    <t>20,0/21,5</t>
  </si>
  <si>
    <t>Озонобезопасный хладагент R32</t>
  </si>
  <si>
    <t>KVS-RAD07CH/IN</t>
  </si>
  <si>
    <t>KVS-RAD07CH/OUT</t>
  </si>
  <si>
    <t>KVS-RAD09CH/IN</t>
  </si>
  <si>
    <t>KVS-RAD09CH/OUT</t>
  </si>
  <si>
    <t>KVS-RAD12CH/IN</t>
  </si>
  <si>
    <t>KVS-RAD12CH/OUT</t>
  </si>
  <si>
    <t>KVS-RAD18CH/IN</t>
  </si>
  <si>
    <t>KVS-RAD18CH/OUT</t>
  </si>
  <si>
    <t>KVS-RAD24CH/IN</t>
  </si>
  <si>
    <t>KVS-RAD24CH/OUT</t>
  </si>
  <si>
    <t>KVS-RAD07CH</t>
  </si>
  <si>
    <t>32/34/38/40/43</t>
  </si>
  <si>
    <t>853x602x349</t>
  </si>
  <si>
    <t>20,5/22,5</t>
  </si>
  <si>
    <t>23,0/25,0</t>
  </si>
  <si>
    <t>7,2/9,2</t>
  </si>
  <si>
    <t>25,0/27,0</t>
  </si>
  <si>
    <t>10,0/13,0</t>
  </si>
  <si>
    <t>30,0/32,5</t>
  </si>
  <si>
    <t>39,0/41,5</t>
  </si>
  <si>
    <t>KVS-RAD09CH</t>
  </si>
  <si>
    <t>KVS-RAD12CH</t>
  </si>
  <si>
    <t>KVS-RAD18CH</t>
  </si>
  <si>
    <t>KVS-RAD24CH</t>
  </si>
  <si>
    <t>НС-КОДКОМПЛЕКТА</t>
  </si>
  <si>
    <t>НС-1596356</t>
  </si>
  <si>
    <t>НС-1596357</t>
  </si>
  <si>
    <t>НС-1596359</t>
  </si>
  <si>
    <t>НС-1597379</t>
  </si>
  <si>
    <t>НС-1597380</t>
  </si>
  <si>
    <t>НС-1597381</t>
  </si>
  <si>
    <t>НС-1597383</t>
  </si>
  <si>
    <t>НС-1597385</t>
  </si>
  <si>
    <t>НС-1595931</t>
  </si>
  <si>
    <t>НС-1595932</t>
  </si>
  <si>
    <t>НС-1595935</t>
  </si>
  <si>
    <t>НС-1595938</t>
  </si>
  <si>
    <t>НС-1595939</t>
  </si>
  <si>
    <t>НС-1595981</t>
  </si>
  <si>
    <t>НС-1595984</t>
  </si>
  <si>
    <t>НС-1595985</t>
  </si>
  <si>
    <t>НС-1595986</t>
  </si>
  <si>
    <t>НС-1595987</t>
  </si>
  <si>
    <t>НС-1595988</t>
  </si>
  <si>
    <t>НС-1595989</t>
  </si>
  <si>
    <t>НС-1595990</t>
  </si>
  <si>
    <t>НС-1595991</t>
  </si>
  <si>
    <t>НС-1595982</t>
  </si>
  <si>
    <t>НС-1626492</t>
  </si>
  <si>
    <t>LA-WF-TL10</t>
  </si>
  <si>
    <t>Wi-FI модуль</t>
  </si>
  <si>
    <t xml:space="preserve">ПРАЙС-ЛИСТ ДЕЙСТВУЕТ С </t>
  </si>
  <si>
    <t>RADIUM INVERTER</t>
  </si>
  <si>
    <t>RADIUM</t>
  </si>
  <si>
    <t>Рекомендовано к размещению на МАРКЕТПЛЕЙСАХ</t>
  </si>
  <si>
    <t>Класс энергоэф.</t>
  </si>
  <si>
    <t>РРЦ, руб</t>
  </si>
  <si>
    <t>МОБИЛЬНЫЕ КОНДИЦИОНЕРЫ</t>
  </si>
  <si>
    <t>DESIRE</t>
  </si>
  <si>
    <r>
      <t xml:space="preserve">§ </t>
    </r>
    <r>
      <rPr>
        <b/>
        <sz val="12"/>
        <rFont val="Calibri"/>
        <family val="2"/>
        <charset val="204"/>
      </rPr>
      <t>А</t>
    </r>
    <r>
      <rPr>
        <sz val="12"/>
        <rFont val="Calibri"/>
        <family val="2"/>
        <charset val="204"/>
      </rPr>
      <t xml:space="preserve"> класс энергоэффективности</t>
    </r>
  </si>
  <si>
    <r>
      <t xml:space="preserve">§ </t>
    </r>
    <r>
      <rPr>
        <b/>
        <sz val="12"/>
        <rFont val="Calibri"/>
        <family val="2"/>
        <charset val="204"/>
      </rPr>
      <t>3 режима работы: охлаждение, осушение, вентиляция</t>
    </r>
  </si>
  <si>
    <r>
      <t xml:space="preserve">§ </t>
    </r>
    <r>
      <rPr>
        <b/>
        <sz val="12"/>
        <rFont val="Calibri"/>
        <family val="2"/>
        <charset val="204"/>
      </rPr>
      <t>2 скорости вентилятора</t>
    </r>
  </si>
  <si>
    <r>
      <t xml:space="preserve">§ </t>
    </r>
    <r>
      <rPr>
        <b/>
        <sz val="12"/>
        <rFont val="Calibri"/>
        <family val="2"/>
        <charset val="204"/>
      </rPr>
      <t xml:space="preserve">GMCC </t>
    </r>
    <r>
      <rPr>
        <sz val="12"/>
        <rFont val="Calibri"/>
        <family val="2"/>
        <charset val="204"/>
      </rPr>
      <t>компрессор</t>
    </r>
  </si>
  <si>
    <r>
      <t xml:space="preserve">§ </t>
    </r>
    <r>
      <rPr>
        <b/>
        <sz val="12"/>
        <rFont val="Calibri"/>
        <family val="2"/>
        <charset val="204"/>
      </rPr>
      <t>Таймер вклю/выкл, ночной режим, блокировка от детей</t>
    </r>
  </si>
  <si>
    <r>
      <t xml:space="preserve">§ </t>
    </r>
    <r>
      <rPr>
        <b/>
        <sz val="12"/>
        <rFont val="Calibri"/>
        <family val="2"/>
        <charset val="204"/>
      </rPr>
      <t>Автоматическое испарение конденсата</t>
    </r>
  </si>
  <si>
    <t>НС-1300165</t>
  </si>
  <si>
    <t>KV-DS05CH-E</t>
  </si>
  <si>
    <t>✓</t>
  </si>
  <si>
    <t>-</t>
  </si>
  <si>
    <t>52/53</t>
  </si>
  <si>
    <t>А</t>
  </si>
  <si>
    <t>315x698x310</t>
  </si>
  <si>
    <t>18,5 / 21,5</t>
  </si>
  <si>
    <t>НС-1300166</t>
  </si>
  <si>
    <t>KV-DS07CH-E</t>
  </si>
  <si>
    <t>53/54</t>
  </si>
  <si>
    <t>20 / 23</t>
  </si>
  <si>
    <t>НС-1300167</t>
  </si>
  <si>
    <t>KV-DS09CH-E</t>
  </si>
  <si>
    <t>54/55</t>
  </si>
  <si>
    <t>22,5 / 25</t>
  </si>
  <si>
    <t>Аксессуары для мобильных кондиционеров</t>
  </si>
  <si>
    <t>Материал</t>
  </si>
  <si>
    <t xml:space="preserve">Размеры оконного адаптера, мм </t>
  </si>
  <si>
    <t xml:space="preserve">Длина ленты-липучки, мм </t>
  </si>
  <si>
    <t>Габариты  коробки (ДхВхГ), мм</t>
  </si>
  <si>
    <t>ОКОННЫЙ АДАПТЕР ДЛЯ МОБИЛЬНОГО КОНДИЦИОНЕРА</t>
  </si>
  <si>
    <r>
      <t xml:space="preserve">§ </t>
    </r>
    <r>
      <rPr>
        <b/>
        <sz val="12"/>
        <rFont val="Calibri"/>
        <family val="2"/>
        <charset val="204"/>
      </rPr>
      <t>Адаптер крепится к раме и створке окна</t>
    </r>
  </si>
  <si>
    <r>
      <t xml:space="preserve">§ </t>
    </r>
    <r>
      <rPr>
        <b/>
        <sz val="12"/>
        <rFont val="Calibri"/>
        <family val="2"/>
        <charset val="204"/>
      </rPr>
      <t>В комплекте с адаптером для кондиционера идет липучка на клеевой основе</t>
    </r>
  </si>
  <si>
    <r>
      <t xml:space="preserve">§ </t>
    </r>
    <r>
      <rPr>
        <b/>
        <sz val="12"/>
        <rFont val="Calibri"/>
        <family val="2"/>
        <charset val="204"/>
      </rPr>
      <t xml:space="preserve">Данный адаптер подходит для распашных окон. </t>
    </r>
  </si>
  <si>
    <r>
      <t xml:space="preserve">§ </t>
    </r>
    <r>
      <rPr>
        <b/>
        <sz val="12"/>
        <rFont val="Calibri"/>
        <family val="2"/>
        <charset val="204"/>
      </rPr>
      <t>Совместив со всеми мобильными кондиционерами</t>
    </r>
  </si>
  <si>
    <t>Узнать больше</t>
  </si>
  <si>
    <t xml:space="preserve">НС-1488394  </t>
  </si>
  <si>
    <t>LA-WKS-04M</t>
  </si>
  <si>
    <t>Полиэстер</t>
  </si>
  <si>
    <t>4000×390</t>
  </si>
  <si>
    <t>240х240х40</t>
  </si>
  <si>
    <t xml:space="preserve"> </t>
  </si>
  <si>
    <t>ПРАЙС-ЛИСТ ДЕЙСТВУЕТ С 01.01.2026</t>
  </si>
</sst>
</file>

<file path=xl/styles.xml><?xml version="1.0" encoding="utf-8"?>
<styleSheet xmlns="http://schemas.openxmlformats.org/spreadsheetml/2006/main">
  <numFmts count="9">
    <numFmt numFmtId="43" formatCode="_-* #,##0.00\ _₽_-;\-* #,##0.00\ _₽_-;_-* &quot;-&quot;??\ _₽_-;_-@_-"/>
    <numFmt numFmtId="164" formatCode="_-* #,##0_р_._-;\-* #,##0_р_._-;_-* &quot;-&quot;_р_._-;_-@_-"/>
    <numFmt numFmtId="165" formatCode="_-* #,##0.00_р_._-;\-* #,##0.00_р_._-;_-* &quot;-&quot;??_р_._-;_-@_-"/>
    <numFmt numFmtId="166" formatCode="0.0"/>
    <numFmt numFmtId="167" formatCode="0_ "/>
    <numFmt numFmtId="168" formatCode="#,##0\ [$USD]"/>
    <numFmt numFmtId="169" formatCode="yyyy&quot;年&quot;m&quot;月&quot;d&quot;日&quot;;@"/>
    <numFmt numFmtId="170" formatCode="_ * #,##0.00_ ;_ * \-#,##0.00_ ;_ * &quot;-&quot;??_ ;_ @_ "/>
    <numFmt numFmtId="171" formatCode="#,##0_р_."/>
  </numFmts>
  <fonts count="57">
    <font>
      <sz val="10"/>
      <name val="Arial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Helv"/>
      <family val="2"/>
    </font>
    <font>
      <sz val="11"/>
      <color indexed="8"/>
      <name val="宋体"/>
      <charset val="134"/>
    </font>
    <font>
      <sz val="10"/>
      <name val="Arial Cyr"/>
      <charset val="204"/>
    </font>
    <font>
      <sz val="10"/>
      <name val="Arial"/>
      <family val="2"/>
    </font>
    <font>
      <sz val="12"/>
      <name val="宋体"/>
      <charset val="134"/>
    </font>
    <font>
      <b/>
      <sz val="12"/>
      <name val="Calibri"/>
      <family val="2"/>
      <charset val="204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2"/>
      <name val="新細明體"/>
      <family val="1"/>
      <charset val="136"/>
    </font>
    <font>
      <sz val="10"/>
      <name val="Helv"/>
      <charset val="204"/>
    </font>
    <font>
      <sz val="12"/>
      <name val="Times New Roman"/>
      <family val="1"/>
    </font>
    <font>
      <sz val="11"/>
      <name val="ＭＳ Ｐゴシック"/>
      <family val="3"/>
      <charset val="128"/>
    </font>
    <font>
      <u/>
      <sz val="10"/>
      <color indexed="12"/>
      <name val="Arial"/>
      <family val="2"/>
    </font>
    <font>
      <sz val="12"/>
      <name val="Calibri"/>
      <family val="2"/>
    </font>
    <font>
      <sz val="12"/>
      <name val="Calibri"/>
      <family val="2"/>
      <charset val="204"/>
    </font>
    <font>
      <sz val="12"/>
      <name val="Wingdings"/>
      <charset val="2"/>
    </font>
    <font>
      <b/>
      <sz val="14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rgb="FF9C0006"/>
      <name val="Lucida Sans Unicode"/>
      <family val="2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34"/>
      <scheme val="minor"/>
    </font>
    <font>
      <sz val="14"/>
      <color theme="0"/>
      <name val="Arial"/>
      <family val="2"/>
      <charset val="204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2"/>
      <color theme="0"/>
      <name val="Calibri"/>
      <family val="2"/>
      <charset val="204"/>
    </font>
    <font>
      <sz val="12"/>
      <name val="Calibri"/>
      <family val="2"/>
      <charset val="204"/>
      <scheme val="minor"/>
    </font>
    <font>
      <b/>
      <u/>
      <sz val="12"/>
      <color rgb="FFFF0000"/>
      <name val="Calibri"/>
      <family val="2"/>
      <charset val="204"/>
    </font>
    <font>
      <b/>
      <sz val="14"/>
      <color theme="0"/>
      <name val="Arial"/>
      <family val="2"/>
      <charset val="204"/>
    </font>
    <font>
      <sz val="12"/>
      <color theme="0"/>
      <name val="Wingdings"/>
      <charset val="2"/>
    </font>
    <font>
      <b/>
      <sz val="12"/>
      <color rgb="FFFF0000"/>
      <name val="Calibri"/>
      <family val="2"/>
      <charset val="204"/>
    </font>
    <font>
      <b/>
      <sz val="12"/>
      <color theme="1"/>
      <name val="Calibri"/>
      <family val="2"/>
      <charset val="204"/>
      <scheme val="minor"/>
    </font>
    <font>
      <b/>
      <sz val="24"/>
      <color rgb="FF595959"/>
      <name val="Arial"/>
      <family val="2"/>
      <charset val="204"/>
    </font>
    <font>
      <b/>
      <sz val="16"/>
      <name val="Calibri"/>
      <family val="2"/>
      <charset val="204"/>
      <scheme val="minor"/>
    </font>
    <font>
      <b/>
      <sz val="12"/>
      <color theme="0"/>
      <name val="Arial"/>
      <family val="2"/>
      <charset val="204"/>
    </font>
    <font>
      <b/>
      <sz val="9"/>
      <color theme="1"/>
      <name val="Calibri"/>
      <family val="2"/>
      <charset val="204"/>
      <scheme val="minor"/>
    </font>
    <font>
      <b/>
      <sz val="9"/>
      <name val="Calibri"/>
      <family val="2"/>
      <charset val="204"/>
    </font>
    <font>
      <sz val="9"/>
      <name val="Arial"/>
      <family val="2"/>
      <charset val="204"/>
    </font>
    <font>
      <sz val="12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2"/>
      <name val="FuturaC"/>
      <charset val="204"/>
    </font>
    <font>
      <b/>
      <sz val="12"/>
      <color theme="1" tint="0.14999847407452621"/>
      <name val="FuturaC"/>
      <charset val="204"/>
    </font>
    <font>
      <sz val="12"/>
      <name val="FuturaC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theme="0"/>
      <name val="Arial"/>
      <family val="2"/>
      <charset val="204"/>
    </font>
    <font>
      <b/>
      <sz val="11"/>
      <name val="Calibri"/>
      <family val="2"/>
      <charset val="204"/>
    </font>
    <font>
      <b/>
      <sz val="12"/>
      <name val="Calibri"/>
      <family val="2"/>
      <charset val="204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charset val="204"/>
    </font>
    <font>
      <sz val="8"/>
      <name val="Arial"/>
      <family val="2"/>
    </font>
    <font>
      <sz val="12"/>
      <color indexed="8"/>
      <name val="Calibri"/>
      <family val="2"/>
      <charset val="204"/>
      <scheme val="minor"/>
    </font>
    <font>
      <b/>
      <sz val="11"/>
      <color rgb="FF00B050"/>
      <name val="Calibri"/>
      <family val="2"/>
      <charset val="204"/>
      <scheme val="minor"/>
    </font>
    <font>
      <b/>
      <sz val="24"/>
      <color theme="1" tint="0.14999847407452621"/>
      <name val="Arial"/>
      <family val="2"/>
      <charset val="204"/>
    </font>
    <font>
      <u/>
      <sz val="11"/>
      <color theme="0" tint="-4.9989318521683403E-2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66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47C6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59">
    <xf numFmtId="0" fontId="0" fillId="0" borderId="0"/>
    <xf numFmtId="0" fontId="6" fillId="0" borderId="0"/>
    <xf numFmtId="0" fontId="3" fillId="0" borderId="0" applyNumberFormat="0" applyBorder="0" applyAlignment="0" applyProtection="0">
      <alignment vertical="center"/>
    </xf>
    <xf numFmtId="0" fontId="3" fillId="0" borderId="0" applyNumberFormat="0" applyBorder="0" applyAlignment="0" applyProtection="0">
      <alignment vertical="center"/>
    </xf>
    <xf numFmtId="0" fontId="3" fillId="0" borderId="0" applyNumberFormat="0" applyBorder="0" applyAlignment="0" applyProtection="0">
      <alignment vertical="center"/>
    </xf>
    <xf numFmtId="0" fontId="3" fillId="0" borderId="0" applyNumberFormat="0" applyBorder="0" applyAlignment="0" applyProtection="0">
      <alignment vertical="center"/>
    </xf>
    <xf numFmtId="0" fontId="3" fillId="0" borderId="0"/>
    <xf numFmtId="0" fontId="7" fillId="0" borderId="0"/>
    <xf numFmtId="0" fontId="11" fillId="0" borderId="0"/>
    <xf numFmtId="0" fontId="7" fillId="0" borderId="0"/>
    <xf numFmtId="0" fontId="3" fillId="0" borderId="0" applyNumberFormat="0" applyBorder="0" applyAlignment="0" applyProtection="0">
      <alignment vertical="center"/>
    </xf>
    <xf numFmtId="170" fontId="6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6" fillId="0" borderId="0"/>
    <xf numFmtId="0" fontId="7" fillId="0" borderId="0"/>
    <xf numFmtId="0" fontId="2" fillId="0" borderId="0"/>
    <xf numFmtId="0" fontId="21" fillId="2" borderId="0" applyNumberFormat="0" applyBorder="0" applyAlignment="0" applyProtection="0"/>
    <xf numFmtId="0" fontId="20" fillId="0" borderId="0"/>
    <xf numFmtId="168" fontId="22" fillId="0" borderId="0">
      <alignment vertical="center"/>
    </xf>
    <xf numFmtId="0" fontId="23" fillId="0" borderId="0"/>
    <xf numFmtId="0" fontId="5" fillId="0" borderId="0"/>
    <xf numFmtId="0" fontId="23" fillId="0" borderId="0"/>
    <xf numFmtId="0" fontId="3" fillId="0" borderId="0"/>
    <xf numFmtId="0" fontId="2" fillId="0" borderId="0"/>
    <xf numFmtId="0" fontId="2" fillId="0" borderId="0"/>
    <xf numFmtId="0" fontId="20" fillId="0" borderId="0"/>
    <xf numFmtId="0" fontId="7" fillId="0" borderId="0"/>
    <xf numFmtId="0" fontId="20" fillId="0" borderId="0"/>
    <xf numFmtId="0" fontId="20" fillId="0" borderId="0"/>
    <xf numFmtId="0" fontId="2" fillId="0" borderId="0"/>
    <xf numFmtId="0" fontId="2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7" fillId="0" borderId="0" applyNumberFormat="0" applyBorder="0" applyAlignment="0" applyProtection="0">
      <alignment vertical="center"/>
    </xf>
    <xf numFmtId="169" fontId="9" fillId="0" borderId="0">
      <alignment vertical="center"/>
    </xf>
    <xf numFmtId="0" fontId="4" fillId="0" borderId="0"/>
    <xf numFmtId="168" fontId="24" fillId="0" borderId="0">
      <alignment vertical="center"/>
    </xf>
    <xf numFmtId="168" fontId="24" fillId="0" borderId="0">
      <alignment vertical="center"/>
    </xf>
    <xf numFmtId="0" fontId="10" fillId="0" borderId="0">
      <alignment vertical="center"/>
    </xf>
    <xf numFmtId="0" fontId="13" fillId="0" borderId="0"/>
    <xf numFmtId="168" fontId="10" fillId="0" borderId="0">
      <alignment vertical="center"/>
    </xf>
    <xf numFmtId="167" fontId="7" fillId="0" borderId="0"/>
    <xf numFmtId="0" fontId="9" fillId="0" borderId="0">
      <alignment vertical="top"/>
    </xf>
    <xf numFmtId="0" fontId="7" fillId="0" borderId="0"/>
    <xf numFmtId="0" fontId="14" fillId="0" borderId="0"/>
    <xf numFmtId="0" fontId="1" fillId="0" borderId="0"/>
    <xf numFmtId="0" fontId="42" fillId="0" borderId="0" applyNumberFormat="0" applyFill="0" applyBorder="0" applyAlignment="0" applyProtection="0"/>
    <xf numFmtId="0" fontId="52" fillId="0" borderId="0"/>
  </cellStyleXfs>
  <cellXfs count="243">
    <xf numFmtId="0" fontId="0" fillId="0" borderId="0" xfId="0"/>
    <xf numFmtId="0" fontId="25" fillId="3" borderId="1" xfId="0" applyFont="1" applyFill="1" applyBorder="1" applyAlignment="1">
      <alignment horizontal="right"/>
    </xf>
    <xf numFmtId="0" fontId="0" fillId="0" borderId="0" xfId="0" applyAlignment="1">
      <alignment horizontal="center" vertical="center"/>
    </xf>
    <xf numFmtId="0" fontId="26" fillId="0" borderId="2" xfId="0" applyFont="1" applyBorder="1"/>
    <xf numFmtId="0" fontId="16" fillId="0" borderId="2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/>
    </xf>
    <xf numFmtId="0" fontId="28" fillId="3" borderId="0" xfId="0" applyFont="1" applyFill="1" applyAlignment="1">
      <alignment vertical="center" wrapText="1"/>
    </xf>
    <xf numFmtId="166" fontId="29" fillId="0" borderId="2" xfId="0" applyNumberFormat="1" applyFont="1" applyBorder="1" applyAlignment="1">
      <alignment horizontal="center" vertical="center"/>
    </xf>
    <xf numFmtId="0" fontId="30" fillId="3" borderId="4" xfId="0" applyFont="1" applyFill="1" applyBorder="1" applyAlignment="1">
      <alignment vertical="center" wrapText="1"/>
    </xf>
    <xf numFmtId="0" fontId="30" fillId="3" borderId="0" xfId="0" applyFont="1" applyFill="1" applyAlignment="1">
      <alignment vertical="center" wrapText="1"/>
    </xf>
    <xf numFmtId="3" fontId="8" fillId="3" borderId="0" xfId="34" applyNumberFormat="1" applyFont="1" applyFill="1" applyAlignment="1">
      <alignment vertical="center"/>
    </xf>
    <xf numFmtId="3" fontId="30" fillId="3" borderId="0" xfId="34" applyNumberFormat="1" applyFont="1" applyFill="1" applyAlignment="1">
      <alignment vertical="center"/>
    </xf>
    <xf numFmtId="0" fontId="19" fillId="3" borderId="5" xfId="0" applyFont="1" applyFill="1" applyBorder="1" applyAlignment="1">
      <alignment horizontal="left"/>
    </xf>
    <xf numFmtId="0" fontId="25" fillId="3" borderId="6" xfId="0" applyFont="1" applyFill="1" applyBorder="1" applyAlignment="1">
      <alignment horizontal="right"/>
    </xf>
    <xf numFmtId="0" fontId="18" fillId="3" borderId="0" xfId="0" applyFont="1" applyFill="1" applyAlignment="1">
      <alignment horizontal="left" vertical="center" indent="3" readingOrder="1"/>
    </xf>
    <xf numFmtId="0" fontId="32" fillId="3" borderId="0" xfId="0" applyFont="1" applyFill="1" applyAlignment="1">
      <alignment horizontal="left" vertical="center" indent="3" readingOrder="1"/>
    </xf>
    <xf numFmtId="3" fontId="33" fillId="3" borderId="7" xfId="34" applyNumberFormat="1" applyFont="1" applyFill="1" applyBorder="1" applyAlignment="1">
      <alignment vertical="center"/>
    </xf>
    <xf numFmtId="3" fontId="8" fillId="3" borderId="7" xfId="34" applyNumberFormat="1" applyFont="1" applyFill="1" applyBorder="1" applyAlignment="1">
      <alignment vertical="center"/>
    </xf>
    <xf numFmtId="0" fontId="40" fillId="0" borderId="0" xfId="0" applyFont="1" applyAlignment="1">
      <alignment horizontal="center" vertical="center"/>
    </xf>
    <xf numFmtId="166" fontId="39" fillId="4" borderId="2" xfId="0" applyNumberFormat="1" applyFont="1" applyFill="1" applyBorder="1" applyAlignment="1">
      <alignment horizontal="center" vertical="center" wrapText="1" shrinkToFit="1"/>
    </xf>
    <xf numFmtId="3" fontId="23" fillId="0" borderId="3" xfId="0" applyNumberFormat="1" applyFont="1" applyBorder="1" applyAlignment="1">
      <alignment horizontal="center" vertical="center"/>
    </xf>
    <xf numFmtId="0" fontId="26" fillId="0" borderId="2" xfId="0" applyFont="1" applyBorder="1" applyAlignment="1">
      <alignment vertical="center"/>
    </xf>
    <xf numFmtId="0" fontId="37" fillId="3" borderId="13" xfId="0" applyFont="1" applyFill="1" applyBorder="1" applyAlignment="1">
      <alignment vertical="center"/>
    </xf>
    <xf numFmtId="3" fontId="23" fillId="0" borderId="2" xfId="0" applyNumberFormat="1" applyFont="1" applyBorder="1" applyAlignment="1">
      <alignment horizontal="center" vertical="center"/>
    </xf>
    <xf numFmtId="0" fontId="26" fillId="3" borderId="0" xfId="0" applyFont="1" applyFill="1" applyAlignment="1">
      <alignment vertical="center"/>
    </xf>
    <xf numFmtId="0" fontId="26" fillId="3" borderId="0" xfId="0" applyFont="1" applyFill="1" applyAlignment="1">
      <alignment horizontal="right" vertical="center"/>
    </xf>
    <xf numFmtId="0" fontId="26" fillId="3" borderId="0" xfId="0" applyFont="1" applyFill="1"/>
    <xf numFmtId="0" fontId="29" fillId="3" borderId="0" xfId="0" applyFont="1" applyFill="1" applyAlignment="1">
      <alignment horizontal="left" vertical="center" indent="3" readingOrder="1"/>
    </xf>
    <xf numFmtId="0" fontId="26" fillId="7" borderId="2" xfId="0" applyFont="1" applyFill="1" applyBorder="1"/>
    <xf numFmtId="0" fontId="16" fillId="7" borderId="2" xfId="0" applyFont="1" applyFill="1" applyBorder="1" applyAlignment="1">
      <alignment horizontal="center" vertical="center" wrapText="1"/>
    </xf>
    <xf numFmtId="0" fontId="26" fillId="7" borderId="2" xfId="0" applyFont="1" applyFill="1" applyBorder="1" applyAlignment="1">
      <alignment horizontal="center" vertical="center"/>
    </xf>
    <xf numFmtId="3" fontId="23" fillId="7" borderId="2" xfId="0" applyNumberFormat="1" applyFont="1" applyFill="1" applyBorder="1" applyAlignment="1">
      <alignment horizontal="center" vertical="center"/>
    </xf>
    <xf numFmtId="166" fontId="29" fillId="7" borderId="2" xfId="0" applyNumberFormat="1" applyFont="1" applyFill="1" applyBorder="1" applyAlignment="1">
      <alignment horizontal="center" vertical="center"/>
    </xf>
    <xf numFmtId="3" fontId="23" fillId="7" borderId="3" xfId="0" applyNumberFormat="1" applyFont="1" applyFill="1" applyBorder="1" applyAlignment="1">
      <alignment horizontal="center" vertical="center"/>
    </xf>
    <xf numFmtId="3" fontId="30" fillId="3" borderId="0" xfId="0" applyNumberFormat="1" applyFont="1" applyFill="1" applyAlignment="1">
      <alignment vertical="center" wrapText="1"/>
    </xf>
    <xf numFmtId="3" fontId="30" fillId="3" borderId="7" xfId="0" applyNumberFormat="1" applyFont="1" applyFill="1" applyBorder="1" applyAlignment="1">
      <alignment vertical="center" wrapText="1"/>
    </xf>
    <xf numFmtId="0" fontId="26" fillId="0" borderId="1" xfId="0" applyFont="1" applyBorder="1" applyAlignment="1">
      <alignment horizontal="center" vertical="center"/>
    </xf>
    <xf numFmtId="0" fontId="26" fillId="7" borderId="1" xfId="0" applyFont="1" applyFill="1" applyBorder="1" applyAlignment="1">
      <alignment horizontal="center" vertical="center"/>
    </xf>
    <xf numFmtId="3" fontId="33" fillId="3" borderId="0" xfId="34" applyNumberFormat="1" applyFont="1" applyFill="1" applyAlignment="1">
      <alignment vertical="center"/>
    </xf>
    <xf numFmtId="0" fontId="36" fillId="3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2" fontId="26" fillId="3" borderId="0" xfId="0" applyNumberFormat="1" applyFont="1" applyFill="1" applyAlignment="1">
      <alignment horizontal="center" vertical="center"/>
    </xf>
    <xf numFmtId="0" fontId="26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 wrapText="1"/>
    </xf>
    <xf numFmtId="3" fontId="23" fillId="3" borderId="0" xfId="0" applyNumberFormat="1" applyFont="1" applyFill="1" applyAlignment="1">
      <alignment horizontal="center" vertical="center"/>
    </xf>
    <xf numFmtId="3" fontId="41" fillId="3" borderId="0" xfId="0" applyNumberFormat="1" applyFont="1" applyFill="1" applyAlignment="1">
      <alignment vertical="center"/>
    </xf>
    <xf numFmtId="3" fontId="34" fillId="3" borderId="0" xfId="0" applyNumberFormat="1" applyFont="1" applyFill="1" applyAlignment="1">
      <alignment horizontal="center" vertical="center"/>
    </xf>
    <xf numFmtId="3" fontId="44" fillId="0" borderId="2" xfId="34" applyNumberFormat="1" applyFont="1" applyBorder="1" applyAlignment="1">
      <alignment horizontal="center" vertical="center" readingOrder="1"/>
    </xf>
    <xf numFmtId="171" fontId="43" fillId="0" borderId="2" xfId="34" applyNumberFormat="1" applyFont="1" applyBorder="1" applyAlignment="1">
      <alignment horizontal="center" vertical="center"/>
    </xf>
    <xf numFmtId="14" fontId="37" fillId="3" borderId="13" xfId="0" applyNumberFormat="1" applyFont="1" applyFill="1" applyBorder="1" applyAlignment="1">
      <alignment horizontal="left" vertical="center"/>
    </xf>
    <xf numFmtId="0" fontId="37" fillId="3" borderId="12" xfId="0" applyFont="1" applyFill="1" applyBorder="1" applyAlignment="1">
      <alignment horizontal="left" vertical="center"/>
    </xf>
    <xf numFmtId="171" fontId="45" fillId="0" borderId="2" xfId="34" applyNumberFormat="1" applyFont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26" fillId="8" borderId="0" xfId="0" applyFont="1" applyFill="1"/>
    <xf numFmtId="0" fontId="26" fillId="8" borderId="0" xfId="0" applyFont="1" applyFill="1" applyAlignment="1">
      <alignment vertical="center"/>
    </xf>
    <xf numFmtId="2" fontId="26" fillId="8" borderId="0" xfId="0" applyNumberFormat="1" applyFont="1" applyFill="1" applyAlignment="1">
      <alignment horizontal="center" vertical="center"/>
    </xf>
    <xf numFmtId="0" fontId="26" fillId="8" borderId="0" xfId="0" applyFont="1" applyFill="1" applyAlignment="1">
      <alignment horizontal="center" vertical="center"/>
    </xf>
    <xf numFmtId="0" fontId="16" fillId="8" borderId="0" xfId="0" applyFont="1" applyFill="1" applyAlignment="1">
      <alignment horizontal="center" vertical="center" wrapText="1"/>
    </xf>
    <xf numFmtId="3" fontId="23" fillId="8" borderId="0" xfId="0" applyNumberFormat="1" applyFont="1" applyFill="1" applyAlignment="1">
      <alignment horizontal="center" vertical="center"/>
    </xf>
    <xf numFmtId="3" fontId="41" fillId="8" borderId="0" xfId="0" applyNumberFormat="1" applyFont="1" applyFill="1" applyAlignment="1">
      <alignment vertical="center"/>
    </xf>
    <xf numFmtId="3" fontId="34" fillId="8" borderId="0" xfId="0" applyNumberFormat="1" applyFont="1" applyFill="1" applyAlignment="1">
      <alignment horizontal="center" vertical="center"/>
    </xf>
    <xf numFmtId="0" fontId="0" fillId="8" borderId="0" xfId="0" applyFill="1"/>
    <xf numFmtId="0" fontId="2" fillId="0" borderId="0" xfId="25"/>
    <xf numFmtId="0" fontId="31" fillId="3" borderId="10" xfId="25" applyFont="1" applyFill="1" applyBorder="1"/>
    <xf numFmtId="0" fontId="31" fillId="3" borderId="0" xfId="25" applyFont="1" applyFill="1"/>
    <xf numFmtId="0" fontId="37" fillId="3" borderId="1" xfId="25" applyFont="1" applyFill="1" applyBorder="1" applyAlignment="1">
      <alignment vertical="center"/>
    </xf>
    <xf numFmtId="0" fontId="37" fillId="3" borderId="12" xfId="25" applyFont="1" applyFill="1" applyBorder="1" applyAlignment="1">
      <alignment vertical="center"/>
    </xf>
    <xf numFmtId="0" fontId="37" fillId="3" borderId="13" xfId="25" applyFont="1" applyFill="1" applyBorder="1" applyAlignment="1">
      <alignment vertical="center"/>
    </xf>
    <xf numFmtId="0" fontId="37" fillId="3" borderId="2" xfId="25" applyFont="1" applyFill="1" applyBorder="1" applyAlignment="1">
      <alignment horizontal="right" vertical="center"/>
    </xf>
    <xf numFmtId="9" fontId="31" fillId="5" borderId="12" xfId="25" applyNumberFormat="1" applyFont="1" applyFill="1" applyBorder="1" applyAlignment="1">
      <alignment horizontal="center" vertical="center"/>
    </xf>
    <xf numFmtId="0" fontId="2" fillId="0" borderId="0" xfId="25" applyAlignment="1">
      <alignment horizontal="center" vertical="center"/>
    </xf>
    <xf numFmtId="166" fontId="48" fillId="4" borderId="2" xfId="25" applyNumberFormat="1" applyFont="1" applyFill="1" applyBorder="1" applyAlignment="1">
      <alignment horizontal="center" vertical="center" wrapText="1" shrinkToFit="1"/>
    </xf>
    <xf numFmtId="0" fontId="19" fillId="3" borderId="5" xfId="25" applyFont="1" applyFill="1" applyBorder="1" applyAlignment="1">
      <alignment horizontal="left" vertical="center"/>
    </xf>
    <xf numFmtId="0" fontId="25" fillId="3" borderId="1" xfId="25" applyFont="1" applyFill="1" applyBorder="1" applyAlignment="1">
      <alignment horizontal="right" vertical="center"/>
    </xf>
    <xf numFmtId="0" fontId="25" fillId="3" borderId="6" xfId="25" applyFont="1" applyFill="1" applyBorder="1" applyAlignment="1">
      <alignment horizontal="right" vertical="center"/>
    </xf>
    <xf numFmtId="0" fontId="18" fillId="3" borderId="0" xfId="25" applyFont="1" applyFill="1" applyAlignment="1">
      <alignment horizontal="left" vertical="center" indent="3" readingOrder="1"/>
    </xf>
    <xf numFmtId="0" fontId="32" fillId="3" borderId="0" xfId="25" applyFont="1" applyFill="1" applyAlignment="1">
      <alignment horizontal="left" vertical="center" indent="3" readingOrder="1"/>
    </xf>
    <xf numFmtId="3" fontId="51" fillId="3" borderId="0" xfId="34" applyNumberFormat="1" applyFont="1" applyFill="1" applyAlignment="1">
      <alignment vertical="center"/>
    </xf>
    <xf numFmtId="3" fontId="51" fillId="3" borderId="7" xfId="34" applyNumberFormat="1" applyFont="1" applyFill="1" applyBorder="1" applyAlignment="1">
      <alignment vertical="center"/>
    </xf>
    <xf numFmtId="0" fontId="18" fillId="3" borderId="0" xfId="25" applyFont="1" applyFill="1" applyAlignment="1">
      <alignment horizontal="left" vertical="top" indent="3" readingOrder="1"/>
    </xf>
    <xf numFmtId="0" fontId="49" fillId="3" borderId="0" xfId="25" applyFont="1" applyFill="1" applyAlignment="1">
      <alignment horizontal="center" vertical="center"/>
    </xf>
    <xf numFmtId="0" fontId="50" fillId="3" borderId="0" xfId="25" applyFont="1" applyFill="1" applyAlignment="1">
      <alignment horizontal="center" vertical="center"/>
    </xf>
    <xf numFmtId="0" fontId="53" fillId="9" borderId="15" xfId="58" applyFont="1" applyFill="1" applyBorder="1" applyAlignment="1">
      <alignment horizontal="left"/>
    </xf>
    <xf numFmtId="0" fontId="53" fillId="9" borderId="15" xfId="58" applyFont="1" applyFill="1" applyBorder="1" applyAlignment="1">
      <alignment horizontal="left" vertical="top"/>
    </xf>
    <xf numFmtId="0" fontId="27" fillId="0" borderId="11" xfId="25" applyFont="1" applyBorder="1" applyAlignment="1">
      <alignment vertical="center"/>
    </xf>
    <xf numFmtId="0" fontId="54" fillId="0" borderId="16" xfId="0" applyFont="1" applyBorder="1" applyAlignment="1">
      <alignment horizontal="center" vertical="center"/>
    </xf>
    <xf numFmtId="0" fontId="27" fillId="0" borderId="2" xfId="25" applyFont="1" applyBorder="1" applyAlignment="1">
      <alignment horizontal="center" vertical="center"/>
    </xf>
    <xf numFmtId="2" fontId="27" fillId="0" borderId="2" xfId="25" applyNumberFormat="1" applyFont="1" applyBorder="1" applyAlignment="1">
      <alignment horizontal="center" vertical="center"/>
    </xf>
    <xf numFmtId="0" fontId="29" fillId="0" borderId="2" xfId="25" applyFont="1" applyBorder="1" applyAlignment="1">
      <alignment horizontal="center" vertical="center"/>
    </xf>
    <xf numFmtId="0" fontId="29" fillId="0" borderId="2" xfId="25" applyFont="1" applyBorder="1" applyAlignment="1">
      <alignment horizontal="center" vertical="center" readingOrder="1"/>
    </xf>
    <xf numFmtId="3" fontId="8" fillId="0" borderId="2" xfId="34" applyNumberFormat="1" applyFont="1" applyBorder="1" applyAlignment="1">
      <alignment horizontal="center" vertical="center"/>
    </xf>
    <xf numFmtId="3" fontId="34" fillId="0" borderId="2" xfId="25" applyNumberFormat="1" applyFont="1" applyBorder="1" applyAlignment="1">
      <alignment horizontal="center" vertical="center"/>
    </xf>
    <xf numFmtId="0" fontId="26" fillId="0" borderId="3" xfId="25" applyFont="1" applyBorder="1"/>
    <xf numFmtId="0" fontId="26" fillId="0" borderId="2" xfId="25" applyFont="1" applyBorder="1" applyAlignment="1">
      <alignment vertical="center"/>
    </xf>
    <xf numFmtId="166" fontId="26" fillId="0" borderId="2" xfId="25" applyNumberFormat="1" applyFont="1" applyBorder="1" applyAlignment="1">
      <alignment horizontal="center" vertical="center"/>
    </xf>
    <xf numFmtId="0" fontId="26" fillId="0" borderId="2" xfId="25" applyFont="1" applyBorder="1" applyAlignment="1">
      <alignment horizontal="center" vertical="center"/>
    </xf>
    <xf numFmtId="49" fontId="27" fillId="0" borderId="2" xfId="25" applyNumberFormat="1" applyFont="1" applyBorder="1" applyAlignment="1">
      <alignment horizontal="center" vertical="center"/>
    </xf>
    <xf numFmtId="0" fontId="16" fillId="0" borderId="3" xfId="25" applyFont="1" applyBorder="1" applyAlignment="1">
      <alignment horizontal="center" vertical="center" wrapText="1"/>
    </xf>
    <xf numFmtId="0" fontId="26" fillId="0" borderId="3" xfId="25" applyFont="1" applyBorder="1" applyAlignment="1">
      <alignment horizontal="center" vertical="center"/>
    </xf>
    <xf numFmtId="0" fontId="26" fillId="0" borderId="2" xfId="25" applyFont="1" applyBorder="1"/>
    <xf numFmtId="0" fontId="16" fillId="0" borderId="2" xfId="25" applyFont="1" applyBorder="1" applyAlignment="1">
      <alignment horizontal="center" vertical="center" wrapText="1"/>
    </xf>
    <xf numFmtId="0" fontId="2" fillId="10" borderId="0" xfId="25" applyFill="1"/>
    <xf numFmtId="0" fontId="37" fillId="10" borderId="0" xfId="25" applyFont="1" applyFill="1" applyAlignment="1">
      <alignment vertical="center"/>
    </xf>
    <xf numFmtId="0" fontId="31" fillId="11" borderId="10" xfId="25" applyFont="1" applyFill="1" applyBorder="1"/>
    <xf numFmtId="0" fontId="31" fillId="11" borderId="0" xfId="25" applyFont="1" applyFill="1"/>
    <xf numFmtId="0" fontId="37" fillId="11" borderId="0" xfId="25" applyFont="1" applyFill="1" applyAlignment="1">
      <alignment vertical="center"/>
    </xf>
    <xf numFmtId="0" fontId="37" fillId="11" borderId="1" xfId="25" applyFont="1" applyFill="1" applyBorder="1" applyAlignment="1">
      <alignment vertical="center"/>
    </xf>
    <xf numFmtId="0" fontId="37" fillId="11" borderId="12" xfId="25" applyFont="1" applyFill="1" applyBorder="1" applyAlignment="1">
      <alignment vertical="center"/>
    </xf>
    <xf numFmtId="0" fontId="37" fillId="11" borderId="13" xfId="25" applyFont="1" applyFill="1" applyBorder="1" applyAlignment="1">
      <alignment vertical="center"/>
    </xf>
    <xf numFmtId="0" fontId="37" fillId="11" borderId="2" xfId="25" applyFont="1" applyFill="1" applyBorder="1" applyAlignment="1">
      <alignment horizontal="right" vertical="center"/>
    </xf>
    <xf numFmtId="9" fontId="31" fillId="11" borderId="12" xfId="25" applyNumberFormat="1" applyFont="1" applyFill="1" applyBorder="1" applyAlignment="1">
      <alignment horizontal="center" vertical="center"/>
    </xf>
    <xf numFmtId="0" fontId="19" fillId="11" borderId="5" xfId="25" applyFont="1" applyFill="1" applyBorder="1" applyAlignment="1">
      <alignment horizontal="left" vertical="center"/>
    </xf>
    <xf numFmtId="0" fontId="25" fillId="11" borderId="1" xfId="25" applyFont="1" applyFill="1" applyBorder="1" applyAlignment="1">
      <alignment horizontal="right" vertical="center"/>
    </xf>
    <xf numFmtId="0" fontId="25" fillId="11" borderId="6" xfId="25" applyFont="1" applyFill="1" applyBorder="1" applyAlignment="1">
      <alignment horizontal="right" vertical="center"/>
    </xf>
    <xf numFmtId="0" fontId="50" fillId="11" borderId="0" xfId="25" applyFont="1" applyFill="1" applyAlignment="1">
      <alignment horizontal="center" vertical="center"/>
    </xf>
    <xf numFmtId="0" fontId="18" fillId="11" borderId="0" xfId="25" applyFont="1" applyFill="1" applyAlignment="1">
      <alignment horizontal="left" vertical="center" indent="3" readingOrder="1"/>
    </xf>
    <xf numFmtId="0" fontId="32" fillId="11" borderId="0" xfId="25" applyFont="1" applyFill="1" applyAlignment="1">
      <alignment horizontal="left" vertical="center" indent="3" readingOrder="1"/>
    </xf>
    <xf numFmtId="3" fontId="51" fillId="11" borderId="0" xfId="34" applyNumberFormat="1" applyFont="1" applyFill="1" applyAlignment="1">
      <alignment vertical="center"/>
    </xf>
    <xf numFmtId="3" fontId="28" fillId="11" borderId="0" xfId="25" applyNumberFormat="1" applyFont="1" applyFill="1" applyAlignment="1">
      <alignment vertical="center" wrapText="1"/>
    </xf>
    <xf numFmtId="3" fontId="28" fillId="11" borderId="7" xfId="25" applyNumberFormat="1" applyFont="1" applyFill="1" applyBorder="1" applyAlignment="1">
      <alignment vertical="center" wrapText="1"/>
    </xf>
    <xf numFmtId="3" fontId="51" fillId="11" borderId="7" xfId="34" applyNumberFormat="1" applyFont="1" applyFill="1" applyBorder="1" applyAlignment="1">
      <alignment vertical="center"/>
    </xf>
    <xf numFmtId="0" fontId="18" fillId="11" borderId="0" xfId="25" applyFont="1" applyFill="1" applyAlignment="1">
      <alignment horizontal="left" vertical="top" indent="3" readingOrder="1"/>
    </xf>
    <xf numFmtId="0" fontId="49" fillId="11" borderId="0" xfId="25" applyFont="1" applyFill="1" applyAlignment="1">
      <alignment horizontal="center" vertical="center"/>
    </xf>
    <xf numFmtId="3" fontId="56" fillId="11" borderId="2" xfId="57" applyNumberFormat="1" applyFont="1" applyFill="1" applyBorder="1" applyAlignment="1">
      <alignment horizontal="center" vertical="center"/>
    </xf>
    <xf numFmtId="0" fontId="26" fillId="0" borderId="0" xfId="25" applyFont="1"/>
    <xf numFmtId="0" fontId="26" fillId="0" borderId="0" xfId="25" applyFont="1" applyAlignment="1">
      <alignment vertical="center"/>
    </xf>
    <xf numFmtId="49" fontId="27" fillId="0" borderId="0" xfId="25" applyNumberFormat="1" applyFont="1" applyAlignment="1">
      <alignment horizontal="center" vertical="center"/>
    </xf>
    <xf numFmtId="0" fontId="26" fillId="0" borderId="0" xfId="25" applyFont="1" applyAlignment="1">
      <alignment horizontal="center" vertical="center"/>
    </xf>
    <xf numFmtId="0" fontId="16" fillId="0" borderId="0" xfId="25" applyFont="1" applyAlignment="1">
      <alignment horizontal="center" vertical="center" wrapText="1"/>
    </xf>
    <xf numFmtId="3" fontId="8" fillId="0" borderId="0" xfId="34" applyNumberFormat="1" applyFont="1" applyAlignment="1">
      <alignment horizontal="center" vertical="center"/>
    </xf>
    <xf numFmtId="3" fontId="34" fillId="0" borderId="0" xfId="25" applyNumberFormat="1" applyFont="1" applyAlignment="1">
      <alignment horizontal="center" vertical="center"/>
    </xf>
    <xf numFmtId="171" fontId="43" fillId="0" borderId="2" xfId="34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45" fillId="7" borderId="12" xfId="0" applyNumberFormat="1" applyFont="1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2" fontId="26" fillId="0" borderId="11" xfId="0" applyNumberFormat="1" applyFont="1" applyBorder="1" applyAlignment="1">
      <alignment vertical="center"/>
    </xf>
    <xf numFmtId="2" fontId="26" fillId="0" borderId="3" xfId="0" applyNumberFormat="1" applyFont="1" applyBorder="1" applyAlignment="1">
      <alignment vertical="center"/>
    </xf>
    <xf numFmtId="0" fontId="26" fillId="0" borderId="11" xfId="0" applyFont="1" applyBorder="1" applyAlignment="1">
      <alignment vertical="center"/>
    </xf>
    <xf numFmtId="0" fontId="26" fillId="0" borderId="3" xfId="0" applyFont="1" applyBorder="1" applyAlignment="1">
      <alignment vertical="center"/>
    </xf>
    <xf numFmtId="2" fontId="26" fillId="7" borderId="11" xfId="0" applyNumberFormat="1" applyFont="1" applyFill="1" applyBorder="1" applyAlignment="1">
      <alignment vertical="center"/>
    </xf>
    <xf numFmtId="0" fontId="0" fillId="7" borderId="3" xfId="0" applyFill="1" applyBorder="1" applyAlignment="1">
      <alignment vertical="center"/>
    </xf>
    <xf numFmtId="0" fontId="26" fillId="7" borderId="11" xfId="0" applyFont="1" applyFill="1" applyBorder="1" applyAlignment="1">
      <alignment vertical="center"/>
    </xf>
    <xf numFmtId="0" fontId="0" fillId="0" borderId="3" xfId="0" applyBorder="1" applyAlignment="1">
      <alignment vertical="center"/>
    </xf>
    <xf numFmtId="0" fontId="26" fillId="7" borderId="11" xfId="0" applyFont="1" applyFill="1" applyBorder="1" applyAlignment="1">
      <alignment horizontal="center" vertical="center"/>
    </xf>
    <xf numFmtId="0" fontId="26" fillId="7" borderId="3" xfId="0" applyFont="1" applyFill="1" applyBorder="1" applyAlignment="1">
      <alignment horizontal="center" vertical="center"/>
    </xf>
    <xf numFmtId="2" fontId="26" fillId="0" borderId="2" xfId="0" applyNumberFormat="1" applyFon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26" fillId="7" borderId="2" xfId="0" applyNumberFormat="1" applyFont="1" applyFill="1" applyBorder="1" applyAlignment="1">
      <alignment horizontal="center" vertical="center"/>
    </xf>
    <xf numFmtId="2" fontId="0" fillId="7" borderId="2" xfId="0" applyNumberFormat="1" applyFill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36" fillId="3" borderId="4" xfId="0" applyFont="1" applyFill="1" applyBorder="1" applyAlignment="1">
      <alignment horizontal="left" vertical="center"/>
    </xf>
    <xf numFmtId="0" fontId="36" fillId="3" borderId="0" xfId="0" applyFont="1" applyFill="1" applyAlignment="1">
      <alignment horizontal="left" vertical="center"/>
    </xf>
    <xf numFmtId="0" fontId="36" fillId="3" borderId="1" xfId="0" applyFont="1" applyFill="1" applyBorder="1" applyAlignment="1">
      <alignment horizontal="left" vertical="center"/>
    </xf>
    <xf numFmtId="0" fontId="35" fillId="0" borderId="8" xfId="0" applyFont="1" applyBorder="1" applyAlignment="1">
      <alignment horizontal="center"/>
    </xf>
    <xf numFmtId="0" fontId="35" fillId="0" borderId="4" xfId="0" applyFont="1" applyBorder="1" applyAlignment="1">
      <alignment horizontal="center"/>
    </xf>
    <xf numFmtId="0" fontId="35" fillId="0" borderId="9" xfId="0" applyFont="1" applyBorder="1" applyAlignment="1">
      <alignment horizontal="center"/>
    </xf>
    <xf numFmtId="3" fontId="39" fillId="4" borderId="3" xfId="0" applyNumberFormat="1" applyFont="1" applyFill="1" applyBorder="1" applyAlignment="1">
      <alignment horizontal="center" vertical="center" wrapText="1"/>
    </xf>
    <xf numFmtId="3" fontId="39" fillId="4" borderId="2" xfId="0" applyNumberFormat="1" applyFont="1" applyFill="1" applyBorder="1" applyAlignment="1">
      <alignment horizontal="center" vertical="center" wrapText="1"/>
    </xf>
    <xf numFmtId="3" fontId="39" fillId="4" borderId="3" xfId="0" applyNumberFormat="1" applyFont="1" applyFill="1" applyBorder="1" applyAlignment="1">
      <alignment horizontal="center" vertical="center" wrapText="1" shrinkToFit="1"/>
    </xf>
    <xf numFmtId="3" fontId="39" fillId="4" borderId="2" xfId="0" applyNumberFormat="1" applyFont="1" applyFill="1" applyBorder="1" applyAlignment="1">
      <alignment horizontal="center" vertical="center" wrapText="1" shrinkToFit="1"/>
    </xf>
    <xf numFmtId="3" fontId="39" fillId="4" borderId="3" xfId="25" applyNumberFormat="1" applyFont="1" applyFill="1" applyBorder="1" applyAlignment="1">
      <alignment horizontal="center" vertical="center" wrapText="1" shrinkToFit="1"/>
    </xf>
    <xf numFmtId="3" fontId="39" fillId="4" borderId="2" xfId="25" applyNumberFormat="1" applyFont="1" applyFill="1" applyBorder="1" applyAlignment="1">
      <alignment horizontal="center" vertical="center" wrapText="1" shrinkToFit="1"/>
    </xf>
    <xf numFmtId="0" fontId="38" fillId="4" borderId="3" xfId="0" applyFont="1" applyFill="1" applyBorder="1" applyAlignment="1">
      <alignment horizontal="center" vertical="center"/>
    </xf>
    <xf numFmtId="0" fontId="38" fillId="4" borderId="2" xfId="0" applyFont="1" applyFill="1" applyBorder="1" applyAlignment="1">
      <alignment horizontal="center" vertical="center"/>
    </xf>
    <xf numFmtId="0" fontId="39" fillId="4" borderId="3" xfId="0" applyFont="1" applyFill="1" applyBorder="1" applyAlignment="1">
      <alignment horizontal="center" vertical="center" wrapText="1" shrinkToFit="1"/>
    </xf>
    <xf numFmtId="0" fontId="39" fillId="4" borderId="2" xfId="0" applyFont="1" applyFill="1" applyBorder="1" applyAlignment="1">
      <alignment horizontal="center" vertical="center" wrapText="1" shrinkToFit="1"/>
    </xf>
    <xf numFmtId="166" fontId="39" fillId="4" borderId="3" xfId="0" applyNumberFormat="1" applyFont="1" applyFill="1" applyBorder="1" applyAlignment="1">
      <alignment horizontal="center" vertical="center" wrapText="1" shrinkToFit="1"/>
    </xf>
    <xf numFmtId="166" fontId="39" fillId="4" borderId="3" xfId="0" applyNumberFormat="1" applyFont="1" applyFill="1" applyBorder="1" applyAlignment="1">
      <alignment horizontal="center" vertical="center" wrapText="1"/>
    </xf>
    <xf numFmtId="166" fontId="39" fillId="4" borderId="2" xfId="0" applyNumberFormat="1" applyFont="1" applyFill="1" applyBorder="1" applyAlignment="1">
      <alignment horizontal="center" vertical="center" wrapText="1"/>
    </xf>
    <xf numFmtId="10" fontId="31" fillId="5" borderId="13" xfId="0" applyNumberFormat="1" applyFont="1" applyFill="1" applyBorder="1" applyAlignment="1">
      <alignment horizontal="center" vertical="center"/>
    </xf>
    <xf numFmtId="10" fontId="31" fillId="5" borderId="14" xfId="0" applyNumberFormat="1" applyFont="1" applyFill="1" applyBorder="1" applyAlignment="1">
      <alignment horizontal="center" vertical="center"/>
    </xf>
    <xf numFmtId="3" fontId="4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9" fillId="0" borderId="1" xfId="53" applyBorder="1" applyAlignment="1">
      <alignment horizontal="center" vertical="top"/>
    </xf>
    <xf numFmtId="3" fontId="39" fillId="6" borderId="3" xfId="0" applyNumberFormat="1" applyFont="1" applyFill="1" applyBorder="1" applyAlignment="1">
      <alignment horizontal="center" vertical="center" wrapText="1"/>
    </xf>
    <xf numFmtId="3" fontId="39" fillId="6" borderId="2" xfId="0" applyNumberFormat="1" applyFont="1" applyFill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/>
    </xf>
    <xf numFmtId="0" fontId="26" fillId="7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38" fillId="4" borderId="3" xfId="0" applyFont="1" applyFill="1" applyBorder="1" applyAlignment="1">
      <alignment horizontal="center" vertical="center" wrapText="1"/>
    </xf>
    <xf numFmtId="0" fontId="38" fillId="4" borderId="2" xfId="0" applyFont="1" applyFill="1" applyBorder="1" applyAlignment="1">
      <alignment horizontal="center" vertical="center" wrapText="1"/>
    </xf>
    <xf numFmtId="3" fontId="34" fillId="0" borderId="11" xfId="0" applyNumberFormat="1" applyFont="1" applyBorder="1" applyAlignment="1">
      <alignment horizontal="center" vertical="center"/>
    </xf>
    <xf numFmtId="3" fontId="34" fillId="0" borderId="3" xfId="0" applyNumberFormat="1" applyFont="1" applyBorder="1" applyAlignment="1">
      <alignment horizontal="center" vertical="center"/>
    </xf>
    <xf numFmtId="3" fontId="41" fillId="0" borderId="11" xfId="0" applyNumberFormat="1" applyFont="1" applyBorder="1" applyAlignment="1">
      <alignment horizontal="center" vertical="center"/>
    </xf>
    <xf numFmtId="3" fontId="41" fillId="0" borderId="3" xfId="0" applyNumberFormat="1" applyFont="1" applyBorder="1" applyAlignment="1">
      <alignment horizontal="center" vertical="center"/>
    </xf>
    <xf numFmtId="3" fontId="30" fillId="3" borderId="0" xfId="0" applyNumberFormat="1" applyFont="1" applyFill="1" applyAlignment="1">
      <alignment horizontal="left" vertical="center" wrapText="1"/>
    </xf>
    <xf numFmtId="0" fontId="0" fillId="7" borderId="3" xfId="0" applyFill="1" applyBorder="1" applyAlignment="1">
      <alignment horizontal="center" vertical="center"/>
    </xf>
    <xf numFmtId="0" fontId="36" fillId="3" borderId="10" xfId="0" applyFont="1" applyFill="1" applyBorder="1" applyAlignment="1">
      <alignment horizontal="left" vertical="center"/>
    </xf>
    <xf numFmtId="171" fontId="43" fillId="0" borderId="12" xfId="34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3" fontId="41" fillId="7" borderId="2" xfId="0" applyNumberFormat="1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3" fontId="34" fillId="7" borderId="2" xfId="0" applyNumberFormat="1" applyFont="1" applyFill="1" applyBorder="1" applyAlignment="1">
      <alignment horizontal="center" vertical="center"/>
    </xf>
    <xf numFmtId="3" fontId="41" fillId="7" borderId="11" xfId="0" applyNumberFormat="1" applyFont="1" applyFill="1" applyBorder="1" applyAlignment="1">
      <alignment horizontal="center" vertical="center"/>
    </xf>
    <xf numFmtId="3" fontId="41" fillId="7" borderId="3" xfId="0" applyNumberFormat="1" applyFont="1" applyFill="1" applyBorder="1" applyAlignment="1">
      <alignment horizontal="center" vertical="center"/>
    </xf>
    <xf numFmtId="3" fontId="34" fillId="7" borderId="11" xfId="0" applyNumberFormat="1" applyFont="1" applyFill="1" applyBorder="1" applyAlignment="1">
      <alignment horizontal="center" vertical="center"/>
    </xf>
    <xf numFmtId="3" fontId="34" fillId="7" borderId="3" xfId="0" applyNumberFormat="1" applyFont="1" applyFill="1" applyBorder="1" applyAlignment="1">
      <alignment horizontal="center" vertical="center"/>
    </xf>
    <xf numFmtId="0" fontId="36" fillId="3" borderId="10" xfId="25" applyFont="1" applyFill="1" applyBorder="1" applyAlignment="1">
      <alignment horizontal="center" vertical="center"/>
    </xf>
    <xf numFmtId="0" fontId="49" fillId="3" borderId="0" xfId="25" applyFont="1" applyFill="1" applyAlignment="1">
      <alignment horizontal="center" vertical="center"/>
    </xf>
    <xf numFmtId="0" fontId="49" fillId="3" borderId="10" xfId="25" applyFont="1" applyFill="1" applyBorder="1" applyAlignment="1">
      <alignment horizontal="center" vertical="center"/>
    </xf>
    <xf numFmtId="0" fontId="50" fillId="3" borderId="0" xfId="25" applyFont="1" applyFill="1" applyAlignment="1">
      <alignment horizontal="center" vertical="center"/>
    </xf>
    <xf numFmtId="3" fontId="28" fillId="3" borderId="0" xfId="25" applyNumberFormat="1" applyFont="1" applyFill="1" applyAlignment="1">
      <alignment horizontal="left" vertical="center" wrapText="1"/>
    </xf>
    <xf numFmtId="3" fontId="28" fillId="3" borderId="7" xfId="25" applyNumberFormat="1" applyFont="1" applyFill="1" applyBorder="1" applyAlignment="1">
      <alignment horizontal="left" vertical="center" wrapText="1"/>
    </xf>
    <xf numFmtId="0" fontId="35" fillId="3" borderId="8" xfId="25" applyFont="1" applyFill="1" applyBorder="1" applyAlignment="1">
      <alignment horizontal="center"/>
    </xf>
    <xf numFmtId="0" fontId="35" fillId="3" borderId="4" xfId="25" applyFont="1" applyFill="1" applyBorder="1" applyAlignment="1">
      <alignment horizontal="center"/>
    </xf>
    <xf numFmtId="0" fontId="35" fillId="3" borderId="9" xfId="25" applyFont="1" applyFill="1" applyBorder="1" applyAlignment="1">
      <alignment horizontal="center"/>
    </xf>
    <xf numFmtId="14" fontId="47" fillId="3" borderId="0" xfId="25" applyNumberFormat="1" applyFont="1" applyFill="1" applyAlignment="1">
      <alignment horizontal="left"/>
    </xf>
    <xf numFmtId="0" fontId="46" fillId="4" borderId="3" xfId="25" applyFont="1" applyFill="1" applyBorder="1" applyAlignment="1">
      <alignment horizontal="center" vertical="center"/>
    </xf>
    <xf numFmtId="0" fontId="46" fillId="4" borderId="2" xfId="25" applyFont="1" applyFill="1" applyBorder="1" applyAlignment="1">
      <alignment horizontal="center" vertical="center"/>
    </xf>
    <xf numFmtId="0" fontId="48" fillId="4" borderId="3" xfId="25" applyFont="1" applyFill="1" applyBorder="1" applyAlignment="1">
      <alignment horizontal="center" vertical="center" wrapText="1" shrinkToFit="1"/>
    </xf>
    <xf numFmtId="0" fontId="48" fillId="4" borderId="2" xfId="25" applyFont="1" applyFill="1" applyBorder="1" applyAlignment="1">
      <alignment horizontal="center" vertical="center" wrapText="1" shrinkToFit="1"/>
    </xf>
    <xf numFmtId="166" fontId="48" fillId="4" borderId="3" xfId="25" applyNumberFormat="1" applyFont="1" applyFill="1" applyBorder="1" applyAlignment="1">
      <alignment horizontal="center" vertical="center" wrapText="1" shrinkToFit="1"/>
    </xf>
    <xf numFmtId="166" fontId="48" fillId="4" borderId="3" xfId="25" applyNumberFormat="1" applyFont="1" applyFill="1" applyBorder="1" applyAlignment="1">
      <alignment horizontal="center" vertical="center" wrapText="1"/>
    </xf>
    <xf numFmtId="166" fontId="48" fillId="4" borderId="2" xfId="25" applyNumberFormat="1" applyFont="1" applyFill="1" applyBorder="1" applyAlignment="1">
      <alignment horizontal="center" vertical="center" wrapText="1"/>
    </xf>
    <xf numFmtId="3" fontId="48" fillId="4" borderId="2" xfId="25" applyNumberFormat="1" applyFont="1" applyFill="1" applyBorder="1" applyAlignment="1">
      <alignment horizontal="center" vertical="center" wrapText="1" shrinkToFit="1"/>
    </xf>
    <xf numFmtId="3" fontId="48" fillId="4" borderId="2" xfId="25" applyNumberFormat="1" applyFont="1" applyFill="1" applyBorder="1" applyAlignment="1">
      <alignment horizontal="center" vertical="center" wrapText="1"/>
    </xf>
    <xf numFmtId="0" fontId="36" fillId="11" borderId="10" xfId="25" applyFont="1" applyFill="1" applyBorder="1" applyAlignment="1">
      <alignment horizontal="center" vertical="center"/>
    </xf>
    <xf numFmtId="0" fontId="49" fillId="11" borderId="0" xfId="25" applyFont="1" applyFill="1" applyAlignment="1">
      <alignment horizontal="center" vertical="center"/>
    </xf>
    <xf numFmtId="0" fontId="49" fillId="11" borderId="10" xfId="25" applyFont="1" applyFill="1" applyBorder="1" applyAlignment="1">
      <alignment horizontal="center" vertical="center"/>
    </xf>
    <xf numFmtId="0" fontId="50" fillId="11" borderId="0" xfId="25" applyFont="1" applyFill="1" applyAlignment="1">
      <alignment horizontal="center" vertical="center"/>
    </xf>
    <xf numFmtId="3" fontId="28" fillId="11" borderId="0" xfId="25" applyNumberFormat="1" applyFont="1" applyFill="1" applyAlignment="1">
      <alignment horizontal="left" vertical="center" wrapText="1"/>
    </xf>
    <xf numFmtId="3" fontId="28" fillId="11" borderId="7" xfId="25" applyNumberFormat="1" applyFont="1" applyFill="1" applyBorder="1" applyAlignment="1">
      <alignment horizontal="left" vertical="center" wrapText="1"/>
    </xf>
    <xf numFmtId="0" fontId="55" fillId="11" borderId="8" xfId="25" applyFont="1" applyFill="1" applyBorder="1" applyAlignment="1">
      <alignment horizontal="center"/>
    </xf>
    <xf numFmtId="0" fontId="35" fillId="11" borderId="4" xfId="25" applyFont="1" applyFill="1" applyBorder="1" applyAlignment="1">
      <alignment horizontal="center"/>
    </xf>
    <xf numFmtId="0" fontId="35" fillId="11" borderId="9" xfId="25" applyFont="1" applyFill="1" applyBorder="1" applyAlignment="1">
      <alignment horizontal="center"/>
    </xf>
    <xf numFmtId="14" fontId="47" fillId="11" borderId="0" xfId="25" applyNumberFormat="1" applyFont="1" applyFill="1" applyAlignment="1">
      <alignment horizontal="left"/>
    </xf>
    <xf numFmtId="0" fontId="47" fillId="11" borderId="0" xfId="25" applyFont="1" applyFill="1" applyAlignment="1">
      <alignment horizontal="left"/>
    </xf>
    <xf numFmtId="0" fontId="46" fillId="7" borderId="3" xfId="25" applyFont="1" applyFill="1" applyBorder="1" applyAlignment="1">
      <alignment horizontal="center" vertical="center"/>
    </xf>
    <xf numFmtId="0" fontId="46" fillId="7" borderId="2" xfId="25" applyFont="1" applyFill="1" applyBorder="1" applyAlignment="1">
      <alignment horizontal="center" vertical="center"/>
    </xf>
    <xf numFmtId="0" fontId="48" fillId="7" borderId="3" xfId="25" applyFont="1" applyFill="1" applyBorder="1" applyAlignment="1">
      <alignment horizontal="center" vertical="center" wrapText="1" shrinkToFit="1"/>
    </xf>
    <xf numFmtId="0" fontId="48" fillId="7" borderId="2" xfId="25" applyFont="1" applyFill="1" applyBorder="1" applyAlignment="1">
      <alignment horizontal="center" vertical="center" wrapText="1" shrinkToFit="1"/>
    </xf>
    <xf numFmtId="166" fontId="48" fillId="7" borderId="3" xfId="25" applyNumberFormat="1" applyFont="1" applyFill="1" applyBorder="1" applyAlignment="1">
      <alignment horizontal="center" vertical="center" wrapText="1"/>
    </xf>
    <xf numFmtId="166" fontId="48" fillId="7" borderId="2" xfId="25" applyNumberFormat="1" applyFont="1" applyFill="1" applyBorder="1" applyAlignment="1">
      <alignment horizontal="center" vertical="center" wrapText="1"/>
    </xf>
    <xf numFmtId="166" fontId="48" fillId="7" borderId="11" xfId="25" applyNumberFormat="1" applyFont="1" applyFill="1" applyBorder="1" applyAlignment="1">
      <alignment horizontal="center" vertical="center" wrapText="1"/>
    </xf>
    <xf numFmtId="3" fontId="48" fillId="7" borderId="2" xfId="25" applyNumberFormat="1" applyFont="1" applyFill="1" applyBorder="1" applyAlignment="1">
      <alignment horizontal="center" vertical="center" wrapText="1" shrinkToFit="1"/>
    </xf>
    <xf numFmtId="3" fontId="48" fillId="7" borderId="2" xfId="25" applyNumberFormat="1" applyFont="1" applyFill="1" applyBorder="1" applyAlignment="1">
      <alignment horizontal="center" vertical="center" wrapText="1"/>
    </xf>
  </cellXfs>
  <cellStyles count="59">
    <cellStyle name="_x0007_" xfId="1"/>
    <cellStyle name="_ET_STYLE_NoName_00_" xfId="2"/>
    <cellStyle name="_ET_STYLE_NoName_00__ControlSystemSummary_2010128" xfId="3"/>
    <cellStyle name="_ET_STYLE_NoName_00__FCUPAHUProductsList_最新_" xfId="4"/>
    <cellStyle name="_ET_STYLE_NoName_00__GREE_CAC_air_cooled_Scroll_chiller_Mini_Chiller" xfId="5"/>
    <cellStyle name="_ET_STYLE_NoName_00__热水机" xfId="6"/>
    <cellStyle name="_x0007__Kentatsu_Line-up_2011_12.10.10" xfId="7"/>
    <cellStyle name="0,0_x000d__x000a_NA_x000d__x000a_" xfId="8"/>
    <cellStyle name="0,0_x000d__x000a_NA_x000d__x000a_ 2" xfId="9"/>
    <cellStyle name="0,0_x005f_x000d__x000a_NA_x005f_x000d__x000a_" xfId="10"/>
    <cellStyle name="Komma 2" xfId="11"/>
    <cellStyle name="Link 2" xfId="12"/>
    <cellStyle name="Normal 2" xfId="13"/>
    <cellStyle name="Normal 3" xfId="14"/>
    <cellStyle name="Normal 4" xfId="15"/>
    <cellStyle name="Normal_MEX " xfId="16"/>
    <cellStyle name="Standard_ACCESSORIES" xfId="17"/>
    <cellStyle name="Ugyldig 2" xfId="18"/>
    <cellStyle name="Гиперссылка 2" xfId="57"/>
    <cellStyle name="Обычный" xfId="0" builtinId="0"/>
    <cellStyle name="Обычный 2" xfId="19"/>
    <cellStyle name="Обычный 2 2" xfId="20"/>
    <cellStyle name="Обычный 2 2 2" xfId="21"/>
    <cellStyle name="Обычный 2 3" xfId="22"/>
    <cellStyle name="Обычный 3" xfId="23"/>
    <cellStyle name="Обычный 3 2" xfId="24"/>
    <cellStyle name="Обычный 4" xfId="25"/>
    <cellStyle name="Обычный 4 2" xfId="26"/>
    <cellStyle name="Обычный 4 3" xfId="27"/>
    <cellStyle name="Обычный 5" xfId="28"/>
    <cellStyle name="Обычный 5 2" xfId="29"/>
    <cellStyle name="Обычный 6" xfId="30"/>
    <cellStyle name="Обычный 6 2" xfId="31"/>
    <cellStyle name="Обычный 7" xfId="32"/>
    <cellStyle name="Обычный 8" xfId="33"/>
    <cellStyle name="Обычный_Lessar_fancoil_27.06.08" xfId="34"/>
    <cellStyle name="Обычный_СПЛИТ-СИСТЕМЫ" xfId="58"/>
    <cellStyle name="Процентный 2" xfId="35"/>
    <cellStyle name="Процентный 2 2" xfId="36"/>
    <cellStyle name="Процентный 3" xfId="37"/>
    <cellStyle name="Процентный 4" xfId="38"/>
    <cellStyle name="Стиль 1" xfId="39"/>
    <cellStyle name="УровеньСтрок_8" xfId="56"/>
    <cellStyle name="Финансовый [0] 2" xfId="40"/>
    <cellStyle name="Финансовый 2" xfId="41"/>
    <cellStyle name="Финансовый 3" xfId="42"/>
    <cellStyle name="Финансовый 4" xfId="43"/>
    <cellStyle name="一般_G430" xfId="44"/>
    <cellStyle name="常规 12 2" xfId="45"/>
    <cellStyle name="常规 2" xfId="46"/>
    <cellStyle name="常规 2 2" xfId="47"/>
    <cellStyle name="常规 2 3" xfId="48"/>
    <cellStyle name="常规 2 4" xfId="49"/>
    <cellStyle name="常规 2 5" xfId="50"/>
    <cellStyle name="常规 2_当前HAPQ现有出口产品清单--开发确认121204反馈_海信日立现有出口机产品清单--121204" xfId="51"/>
    <cellStyle name="常规 29 2 16" xfId="52"/>
    <cellStyle name="常规 5" xfId="53"/>
    <cellStyle name="常规_2008 Pricing_GMV R410a_Before August 2008_USD_2009 GREE CAC Pricing for Q4 season_Valid thru Nov 2009" xfId="54"/>
    <cellStyle name="標準 3" xfId="5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microsoft.com/office/2007/relationships/hdphoto" Target="../media/hdphoto1.wdp"/><Relationship Id="rId7" Type="http://schemas.openxmlformats.org/officeDocument/2006/relationships/image" Target="../media/image15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6" Type="http://schemas.openxmlformats.org/officeDocument/2006/relationships/image" Target="../media/image8.jpe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jpeg"/><Relationship Id="rId7" Type="http://schemas.openxmlformats.org/officeDocument/2006/relationships/image" Target="../media/image10.png"/><Relationship Id="rId2" Type="http://schemas.openxmlformats.org/officeDocument/2006/relationships/image" Target="../media/image17.jpeg"/><Relationship Id="rId1" Type="http://schemas.openxmlformats.org/officeDocument/2006/relationships/image" Target="../media/image16.png"/><Relationship Id="rId6" Type="http://schemas.microsoft.com/office/2007/relationships/hdphoto" Target="../media/hdphoto2.wdp"/><Relationship Id="rId5" Type="http://schemas.openxmlformats.org/officeDocument/2006/relationships/image" Target="../media/image20.png"/><Relationship Id="rId4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54428</xdr:colOff>
      <xdr:row>6</xdr:row>
      <xdr:rowOff>55789</xdr:rowOff>
    </xdr:from>
    <xdr:to>
      <xdr:col>5</xdr:col>
      <xdr:colOff>734785</xdr:colOff>
      <xdr:row>12</xdr:row>
      <xdr:rowOff>91983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898321" y="1974396"/>
          <a:ext cx="3075214" cy="1260837"/>
        </a:xfrm>
        <a:prstGeom prst="rect">
          <a:avLst/>
        </a:prstGeom>
      </xdr:spPr>
    </xdr:pic>
    <xdr:clientData/>
  </xdr:twoCellAnchor>
  <xdr:twoCellAnchor editAs="oneCell">
    <xdr:from>
      <xdr:col>3</xdr:col>
      <xdr:colOff>149679</xdr:colOff>
      <xdr:row>20</xdr:row>
      <xdr:rowOff>0</xdr:rowOff>
    </xdr:from>
    <xdr:to>
      <xdr:col>5</xdr:col>
      <xdr:colOff>808133</xdr:colOff>
      <xdr:row>26</xdr:row>
      <xdr:rowOff>149679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2993572" y="17049750"/>
          <a:ext cx="3053311" cy="1251858"/>
        </a:xfrm>
        <a:prstGeom prst="rect">
          <a:avLst/>
        </a:prstGeom>
      </xdr:spPr>
    </xdr:pic>
    <xdr:clientData/>
  </xdr:twoCellAnchor>
  <xdr:twoCellAnchor editAs="oneCell">
    <xdr:from>
      <xdr:col>6</xdr:col>
      <xdr:colOff>757808</xdr:colOff>
      <xdr:row>19</xdr:row>
      <xdr:rowOff>19050</xdr:rowOff>
    </xdr:from>
    <xdr:to>
      <xdr:col>7</xdr:col>
      <xdr:colOff>693447</xdr:colOff>
      <xdr:row>24</xdr:row>
      <xdr:rowOff>116611</xdr:rowOff>
    </xdr:to>
    <xdr:pic>
      <xdr:nvPicPr>
        <xdr:cNvPr id="32" name="Рисунок 31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duotone>
            <a:prstClr val="black"/>
            <a:srgbClr val="31A5D4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101458" y="5181600"/>
          <a:ext cx="1078639" cy="1088161"/>
        </a:xfrm>
        <a:prstGeom prst="rect">
          <a:avLst/>
        </a:prstGeom>
      </xdr:spPr>
    </xdr:pic>
    <xdr:clientData/>
  </xdr:twoCellAnchor>
  <xdr:twoCellAnchor editAs="oneCell">
    <xdr:from>
      <xdr:col>2</xdr:col>
      <xdr:colOff>312965</xdr:colOff>
      <xdr:row>37</xdr:row>
      <xdr:rowOff>131085</xdr:rowOff>
    </xdr:from>
    <xdr:to>
      <xdr:col>3</xdr:col>
      <xdr:colOff>862693</xdr:colOff>
      <xdr:row>39</xdr:row>
      <xdr:rowOff>60779</xdr:rowOff>
    </xdr:to>
    <xdr:pic>
      <xdr:nvPicPr>
        <xdr:cNvPr id="34" name="Рисунок 33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xmlns=""/>
            </a:ext>
          </a:extLst>
        </a:blip>
        <a:srcRect t="23429" b="19429"/>
        <a:stretch/>
      </xdr:blipFill>
      <xdr:spPr>
        <a:xfrm>
          <a:off x="1238251" y="15425514"/>
          <a:ext cx="2468335" cy="1412872"/>
        </a:xfrm>
        <a:prstGeom prst="rect">
          <a:avLst/>
        </a:prstGeom>
      </xdr:spPr>
    </xdr:pic>
    <xdr:clientData/>
  </xdr:twoCellAnchor>
  <xdr:oneCellAnchor>
    <xdr:from>
      <xdr:col>9</xdr:col>
      <xdr:colOff>514350</xdr:colOff>
      <xdr:row>38</xdr:row>
      <xdr:rowOff>342900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SpPr txBox="1"/>
      </xdr:nvSpPr>
      <xdr:spPr>
        <a:xfrm>
          <a:off x="10639425" y="12211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12700</xdr:colOff>
      <xdr:row>38</xdr:row>
      <xdr:rowOff>143780</xdr:rowOff>
    </xdr:from>
    <xdr:ext cx="5539013" cy="985613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SpPr txBox="1"/>
      </xdr:nvSpPr>
      <xdr:spPr>
        <a:xfrm>
          <a:off x="8231414" y="15642316"/>
          <a:ext cx="5539013" cy="9856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o</a:t>
          </a:r>
          <a:r>
            <a:rPr lang="ru-RU"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 Полностью русифицированное приложение для управления всеми</a:t>
          </a:r>
          <a:r>
            <a:rPr lang="en-US"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ru-RU"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функциями сплит-систем</a:t>
          </a:r>
        </a:p>
        <a:p>
          <a:r>
            <a:rPr lang="en-US"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o</a:t>
          </a:r>
          <a:r>
            <a:rPr lang="ru-RU"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 Возможность управления по </a:t>
          </a:r>
          <a:r>
            <a:rPr lang="en-US" sz="900" b="1" i="0" u="none" strike="noStrike" kern="1200" baseline="0">
              <a:solidFill>
                <a:srgbClr val="0060A8"/>
              </a:solidFill>
              <a:latin typeface="+mn-lt"/>
              <a:ea typeface="+mn-ea"/>
              <a:cs typeface="+mn-cs"/>
            </a:rPr>
            <a:t>Wi-FI </a:t>
          </a:r>
          <a:r>
            <a:rPr lang="ru-RU"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как из домашней, так и из мобильной сети</a:t>
          </a:r>
        </a:p>
        <a:p>
          <a:r>
            <a:rPr lang="en-US"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o</a:t>
          </a:r>
          <a:r>
            <a:rPr lang="ru-RU"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 Удобное </a:t>
          </a:r>
          <a:r>
            <a:rPr lang="ru-RU" sz="900" b="1" i="0" u="none" strike="noStrike" kern="1200" baseline="0">
              <a:solidFill>
                <a:srgbClr val="0060A8"/>
              </a:solidFill>
              <a:latin typeface="+mn-lt"/>
              <a:ea typeface="+mn-ea"/>
              <a:cs typeface="+mn-cs"/>
            </a:rPr>
            <a:t>подключение </a:t>
          </a:r>
          <a:endParaRPr lang="ru-RU" sz="900" b="1" i="0" u="none" strike="noStrike" kern="1200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o</a:t>
          </a:r>
          <a:r>
            <a:rPr lang="ru-RU"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 Подходит к серии сплит-систем </a:t>
          </a:r>
          <a:r>
            <a:rPr lang="en-US"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RADIUM </a:t>
          </a:r>
          <a:r>
            <a:rPr lang="ru-RU"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и </a:t>
          </a:r>
          <a:r>
            <a:rPr lang="en-US"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RADIUM Inverter</a:t>
          </a:r>
          <a:endParaRPr lang="ru-RU" sz="900" b="1" i="0" u="none" strike="noStrike" kern="1200" baseline="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oneCellAnchor>
  <xdr:twoCellAnchor editAs="oneCell">
    <xdr:from>
      <xdr:col>5</xdr:col>
      <xdr:colOff>231322</xdr:colOff>
      <xdr:row>38</xdr:row>
      <xdr:rowOff>100329</xdr:rowOff>
    </xdr:from>
    <xdr:to>
      <xdr:col>6</xdr:col>
      <xdr:colOff>270685</xdr:colOff>
      <xdr:row>38</xdr:row>
      <xdr:rowOff>1140755</xdr:rowOff>
    </xdr:to>
    <xdr:pic>
      <xdr:nvPicPr>
        <xdr:cNvPr id="37" name="Рисунок 36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5470072" y="15598865"/>
          <a:ext cx="1155149" cy="1040426"/>
        </a:xfrm>
        <a:prstGeom prst="rect">
          <a:avLst/>
        </a:prstGeom>
      </xdr:spPr>
    </xdr:pic>
    <xdr:clientData/>
  </xdr:twoCellAnchor>
  <xdr:twoCellAnchor editAs="oneCell">
    <xdr:from>
      <xdr:col>5</xdr:col>
      <xdr:colOff>911680</xdr:colOff>
      <xdr:row>8</xdr:row>
      <xdr:rowOff>197644</xdr:rowOff>
    </xdr:from>
    <xdr:to>
      <xdr:col>6</xdr:col>
      <xdr:colOff>108858</xdr:colOff>
      <xdr:row>12</xdr:row>
      <xdr:rowOff>108857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6150430" y="2524465"/>
          <a:ext cx="312964" cy="727642"/>
        </a:xfrm>
        <a:prstGeom prst="rect">
          <a:avLst/>
        </a:prstGeom>
      </xdr:spPr>
    </xdr:pic>
    <xdr:clientData/>
  </xdr:twoCellAnchor>
  <xdr:twoCellAnchor editAs="oneCell">
    <xdr:from>
      <xdr:col>5</xdr:col>
      <xdr:colOff>903516</xdr:colOff>
      <xdr:row>21</xdr:row>
      <xdr:rowOff>148658</xdr:rowOff>
    </xdr:from>
    <xdr:to>
      <xdr:col>6</xdr:col>
      <xdr:colOff>100694</xdr:colOff>
      <xdr:row>25</xdr:row>
      <xdr:rowOff>141514</xdr:rowOff>
    </xdr:to>
    <xdr:pic>
      <xdr:nvPicPr>
        <xdr:cNvPr id="38" name="Рисунок 37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6142266" y="7809479"/>
          <a:ext cx="312964" cy="727642"/>
        </a:xfrm>
        <a:prstGeom prst="rect">
          <a:avLst/>
        </a:prstGeom>
      </xdr:spPr>
    </xdr:pic>
    <xdr:clientData/>
  </xdr:twoCellAnchor>
  <xdr:twoCellAnchor editAs="oneCell">
    <xdr:from>
      <xdr:col>6</xdr:col>
      <xdr:colOff>757808</xdr:colOff>
      <xdr:row>22</xdr:row>
      <xdr:rowOff>68036</xdr:rowOff>
    </xdr:from>
    <xdr:to>
      <xdr:col>8</xdr:col>
      <xdr:colOff>9630</xdr:colOff>
      <xdr:row>28</xdr:row>
      <xdr:rowOff>13822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duotone>
            <a:prstClr val="black"/>
            <a:schemeClr val="accent5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112344" y="7932965"/>
          <a:ext cx="1116000" cy="1116000"/>
        </a:xfrm>
        <a:prstGeom prst="rect">
          <a:avLst/>
        </a:prstGeom>
      </xdr:spPr>
    </xdr:pic>
    <xdr:clientData/>
  </xdr:twoCellAnchor>
  <xdr:twoCellAnchor editAs="oneCell">
    <xdr:from>
      <xdr:col>6</xdr:col>
      <xdr:colOff>625928</xdr:colOff>
      <xdr:row>5</xdr:row>
      <xdr:rowOff>108859</xdr:rowOff>
    </xdr:from>
    <xdr:to>
      <xdr:col>7</xdr:col>
      <xdr:colOff>561567</xdr:colOff>
      <xdr:row>10</xdr:row>
      <xdr:rowOff>165599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duotone>
            <a:prstClr val="black"/>
            <a:srgbClr val="31A5D4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6980464" y="1796145"/>
          <a:ext cx="1078639" cy="1104490"/>
        </a:xfrm>
        <a:prstGeom prst="rect">
          <a:avLst/>
        </a:prstGeom>
      </xdr:spPr>
    </xdr:pic>
    <xdr:clientData/>
  </xdr:twoCellAnchor>
  <xdr:twoCellAnchor editAs="oneCell">
    <xdr:from>
      <xdr:col>6</xdr:col>
      <xdr:colOff>625928</xdr:colOff>
      <xdr:row>8</xdr:row>
      <xdr:rowOff>136074</xdr:rowOff>
    </xdr:from>
    <xdr:to>
      <xdr:col>7</xdr:col>
      <xdr:colOff>598928</xdr:colOff>
      <xdr:row>14</xdr:row>
      <xdr:rowOff>27431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duotone>
            <a:prstClr val="black"/>
            <a:schemeClr val="accent5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6980464" y="2462895"/>
          <a:ext cx="1116000" cy="1116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19050</xdr:rowOff>
    </xdr:from>
    <xdr:to>
      <xdr:col>16</xdr:col>
      <xdr:colOff>857250</xdr:colOff>
      <xdr:row>1</xdr:row>
      <xdr:rowOff>27054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 b="27561"/>
        <a:stretch/>
      </xdr:blipFill>
      <xdr:spPr>
        <a:xfrm>
          <a:off x="0" y="19050"/>
          <a:ext cx="13506450" cy="10462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136071</xdr:rowOff>
    </xdr:from>
    <xdr:to>
      <xdr:col>2</xdr:col>
      <xdr:colOff>1876185</xdr:colOff>
      <xdr:row>0</xdr:row>
      <xdr:rowOff>913313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0" y="136071"/>
          <a:ext cx="2801471" cy="777242"/>
        </a:xfrm>
        <a:prstGeom prst="rect">
          <a:avLst/>
        </a:prstGeom>
      </xdr:spPr>
    </xdr:pic>
    <xdr:clientData/>
  </xdr:twoCellAnchor>
  <xdr:twoCellAnchor>
    <xdr:from>
      <xdr:col>3</xdr:col>
      <xdr:colOff>762000</xdr:colOff>
      <xdr:row>0</xdr:row>
      <xdr:rowOff>217715</xdr:rowOff>
    </xdr:from>
    <xdr:to>
      <xdr:col>10</xdr:col>
      <xdr:colOff>238526</xdr:colOff>
      <xdr:row>0</xdr:row>
      <xdr:rowOff>654745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SpPr txBox="1"/>
      </xdr:nvSpPr>
      <xdr:spPr>
        <a:xfrm>
          <a:off x="3605893" y="217715"/>
          <a:ext cx="7395883" cy="4370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2800" b="1">
              <a:solidFill>
                <a:schemeClr val="bg1"/>
              </a:solidFill>
            </a:rPr>
            <a:t>СИСТЕМЫ</a:t>
          </a:r>
          <a:r>
            <a:rPr lang="ru-RU" sz="2800" b="1" baseline="0">
              <a:solidFill>
                <a:schemeClr val="bg1"/>
              </a:solidFill>
            </a:rPr>
            <a:t> КОНДИЦИОНИРОВАНИЯ </a:t>
          </a:r>
          <a:r>
            <a:rPr lang="en-US" sz="2800" b="1" baseline="0">
              <a:solidFill>
                <a:schemeClr val="bg1"/>
              </a:solidFill>
            </a:rPr>
            <a:t>ECOSTAR</a:t>
          </a:r>
          <a:endParaRPr lang="ru-RU" sz="2800" b="1">
            <a:solidFill>
              <a:schemeClr val="bg1"/>
            </a:solidFill>
          </a:endParaRPr>
        </a:p>
      </xdr:txBody>
    </xdr:sp>
    <xdr:clientData/>
  </xdr:twoCellAnchor>
  <xdr:oneCellAnchor>
    <xdr:from>
      <xdr:col>5</xdr:col>
      <xdr:colOff>612380</xdr:colOff>
      <xdr:row>0</xdr:row>
      <xdr:rowOff>1016856</xdr:rowOff>
    </xdr:from>
    <xdr:ext cx="2188676" cy="405432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SpPr txBox="1"/>
      </xdr:nvSpPr>
      <xdr:spPr>
        <a:xfrm>
          <a:off x="5841605" y="1016856"/>
          <a:ext cx="2188676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ru-RU" sz="2000" b="1" baseline="0">
              <a:solidFill>
                <a:schemeClr val="bg1">
                  <a:lumMod val="50000"/>
                </a:schemeClr>
              </a:solidFill>
            </a:rPr>
            <a:t>ПРАЙС-ЛИСТ</a:t>
          </a:r>
          <a:r>
            <a:rPr lang="en-US" sz="2000" b="1" baseline="0">
              <a:solidFill>
                <a:schemeClr val="bg1">
                  <a:lumMod val="50000"/>
                </a:schemeClr>
              </a:solidFill>
            </a:rPr>
            <a:t> </a:t>
          </a:r>
          <a:r>
            <a:rPr lang="ru-RU" sz="2000" b="1" baseline="0">
              <a:solidFill>
                <a:schemeClr val="bg1">
                  <a:lumMod val="50000"/>
                </a:schemeClr>
              </a:solidFill>
            </a:rPr>
            <a:t>2026</a:t>
          </a:r>
          <a:endParaRPr lang="ru-RU" sz="2000" b="1">
            <a:solidFill>
              <a:schemeClr val="bg1">
                <a:lumMod val="50000"/>
              </a:schemeClr>
            </a:solidFill>
          </a:endParaRPr>
        </a:p>
      </xdr:txBody>
    </xdr:sp>
    <xdr:clientData/>
  </xdr:oneCellAnchor>
  <xdr:twoCellAnchor>
    <xdr:from>
      <xdr:col>1</xdr:col>
      <xdr:colOff>0</xdr:colOff>
      <xdr:row>40</xdr:row>
      <xdr:rowOff>9524</xdr:rowOff>
    </xdr:from>
    <xdr:to>
      <xdr:col>17</xdr:col>
      <xdr:colOff>55307</xdr:colOff>
      <xdr:row>47</xdr:row>
      <xdr:rowOff>66675</xdr:rowOff>
    </xdr:to>
    <xdr:pic>
      <xdr:nvPicPr>
        <xdr:cNvPr id="3" name="Picture 1047">
          <a:extLst>
            <a:ext uri="{FF2B5EF4-FFF2-40B4-BE49-F238E27FC236}">
              <a16:creationId xmlns:a16="http://schemas.microsoft.com/office/drawing/2014/main" xmlns="" id="{DEAB58D5-94F7-402B-868B-0164A679A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0" y="10429874"/>
          <a:ext cx="13571282" cy="1838326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223630</xdr:colOff>
      <xdr:row>6</xdr:row>
      <xdr:rowOff>248480</xdr:rowOff>
    </xdr:from>
    <xdr:to>
      <xdr:col>5</xdr:col>
      <xdr:colOff>426554</xdr:colOff>
      <xdr:row>13</xdr:row>
      <xdr:rowOff>241954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4567030" y="2267780"/>
          <a:ext cx="860149" cy="1469849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7</xdr:col>
      <xdr:colOff>98479</xdr:colOff>
      <xdr:row>7</xdr:row>
      <xdr:rowOff>139964</xdr:rowOff>
    </xdr:from>
    <xdr:to>
      <xdr:col>7</xdr:col>
      <xdr:colOff>517884</xdr:colOff>
      <xdr:row>13</xdr:row>
      <xdr:rowOff>56323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BEBA8EAE-BF5A-486C-A8C5-ECC9F3942E4B}">
              <a14:imgProps xmlns:a14="http://schemas.microsoft.com/office/drawing/2010/main" xmlns="">
                <a14:imgLayer r:embed="rId3">
                  <a14:imgEffect>
                    <a14:saturation sat="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6746929" y="2435489"/>
          <a:ext cx="419405" cy="1116509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6</xdr:col>
      <xdr:colOff>60831</xdr:colOff>
      <xdr:row>6</xdr:row>
      <xdr:rowOff>223630</xdr:rowOff>
    </xdr:from>
    <xdr:to>
      <xdr:col>6</xdr:col>
      <xdr:colOff>784100</xdr:colOff>
      <xdr:row>13</xdr:row>
      <xdr:rowOff>229014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5718681" y="2242930"/>
          <a:ext cx="723269" cy="1481759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3</xdr:col>
      <xdr:colOff>182218</xdr:colOff>
      <xdr:row>8</xdr:row>
      <xdr:rowOff>182216</xdr:rowOff>
    </xdr:from>
    <xdr:to>
      <xdr:col>3</xdr:col>
      <xdr:colOff>1001368</xdr:colOff>
      <xdr:row>12</xdr:row>
      <xdr:rowOff>187186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duotone>
            <a:prstClr val="black"/>
            <a:schemeClr val="accent1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3306418" y="2677766"/>
          <a:ext cx="819150" cy="805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14</xdr:col>
      <xdr:colOff>9525</xdr:colOff>
      <xdr:row>2</xdr:row>
      <xdr:rowOff>45919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 b="27561"/>
        <a:stretch/>
      </xdr:blipFill>
      <xdr:spPr>
        <a:xfrm>
          <a:off x="0" y="0"/>
          <a:ext cx="13544550" cy="1007944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2</xdr:row>
      <xdr:rowOff>0</xdr:rowOff>
    </xdr:from>
    <xdr:ext cx="2188677" cy="405432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SpPr txBox="1"/>
      </xdr:nvSpPr>
      <xdr:spPr>
        <a:xfrm>
          <a:off x="5657022" y="969065"/>
          <a:ext cx="2188677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ru-RU" sz="2000" b="1" baseline="0">
              <a:solidFill>
                <a:schemeClr val="bg1">
                  <a:lumMod val="50000"/>
                </a:schemeClr>
              </a:solidFill>
            </a:rPr>
            <a:t>ПРАЙС-ЛИСТ</a:t>
          </a:r>
          <a:r>
            <a:rPr lang="en-US" sz="2000" b="1" baseline="0">
              <a:solidFill>
                <a:schemeClr val="bg1">
                  <a:lumMod val="50000"/>
                </a:schemeClr>
              </a:solidFill>
            </a:rPr>
            <a:t> </a:t>
          </a:r>
          <a:r>
            <a:rPr lang="ru-RU" sz="2000" b="1" baseline="0">
              <a:solidFill>
                <a:schemeClr val="bg1">
                  <a:lumMod val="50000"/>
                </a:schemeClr>
              </a:solidFill>
            </a:rPr>
            <a:t>202</a:t>
          </a:r>
          <a:r>
            <a:rPr lang="en-US" sz="2000" b="1" baseline="0">
              <a:solidFill>
                <a:schemeClr val="bg1">
                  <a:lumMod val="50000"/>
                </a:schemeClr>
              </a:solidFill>
            </a:rPr>
            <a:t>6</a:t>
          </a:r>
          <a:endParaRPr lang="ru-RU" sz="2000" b="1">
            <a:solidFill>
              <a:schemeClr val="bg1">
                <a:lumMod val="50000"/>
              </a:schemeClr>
            </a:solidFill>
          </a:endParaRPr>
        </a:p>
      </xdr:txBody>
    </xdr:sp>
    <xdr:clientData/>
  </xdr:oneCellAnchor>
  <xdr:twoCellAnchor editAs="oneCell">
    <xdr:from>
      <xdr:col>0</xdr:col>
      <xdr:colOff>0</xdr:colOff>
      <xdr:row>0</xdr:row>
      <xdr:rowOff>0</xdr:rowOff>
    </xdr:from>
    <xdr:to>
      <xdr:col>2</xdr:col>
      <xdr:colOff>342660</xdr:colOff>
      <xdr:row>1</xdr:row>
      <xdr:rowOff>43817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0" y="0"/>
          <a:ext cx="2800110" cy="777242"/>
        </a:xfrm>
        <a:prstGeom prst="rect">
          <a:avLst/>
        </a:prstGeom>
      </xdr:spPr>
    </xdr:pic>
    <xdr:clientData/>
  </xdr:twoCellAnchor>
  <xdr:twoCellAnchor>
    <xdr:from>
      <xdr:col>3</xdr:col>
      <xdr:colOff>104775</xdr:colOff>
      <xdr:row>0</xdr:row>
      <xdr:rowOff>66675</xdr:rowOff>
    </xdr:from>
    <xdr:to>
      <xdr:col>10</xdr:col>
      <xdr:colOff>723900</xdr:colOff>
      <xdr:row>0</xdr:row>
      <xdr:rowOff>503705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SpPr txBox="1"/>
      </xdr:nvSpPr>
      <xdr:spPr>
        <a:xfrm>
          <a:off x="3228975" y="66675"/>
          <a:ext cx="7134225" cy="4370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2800" b="1">
              <a:solidFill>
                <a:schemeClr val="bg1"/>
              </a:solidFill>
            </a:rPr>
            <a:t>СИСТЕМЫ</a:t>
          </a:r>
          <a:r>
            <a:rPr lang="ru-RU" sz="2800" b="1" baseline="0">
              <a:solidFill>
                <a:schemeClr val="bg1"/>
              </a:solidFill>
            </a:rPr>
            <a:t> КОНДИЦИОНИРОВАНИЯ </a:t>
          </a:r>
          <a:r>
            <a:rPr lang="en-US" sz="2800" b="1" baseline="0">
              <a:solidFill>
                <a:schemeClr val="bg1"/>
              </a:solidFill>
            </a:rPr>
            <a:t>ECOSTAR</a:t>
          </a:r>
          <a:endParaRPr lang="ru-RU" sz="28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0</xdr:colOff>
      <xdr:row>16</xdr:row>
      <xdr:rowOff>198782</xdr:rowOff>
    </xdr:from>
    <xdr:to>
      <xdr:col>14</xdr:col>
      <xdr:colOff>107674</xdr:colOff>
      <xdr:row>23</xdr:row>
      <xdr:rowOff>8282</xdr:rowOff>
    </xdr:to>
    <xdr:pic>
      <xdr:nvPicPr>
        <xdr:cNvPr id="6" name="Picture 1047">
          <a:extLst>
            <a:ext uri="{FF2B5EF4-FFF2-40B4-BE49-F238E27FC236}">
              <a16:creationId xmlns:a16="http://schemas.microsoft.com/office/drawing/2014/main" xmlns="" id="{E62492D2-2882-4B69-B01F-51CFE6D4C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0" y="4472608"/>
          <a:ext cx="13649739" cy="1813891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47625</xdr:rowOff>
    </xdr:from>
    <xdr:ext cx="2297113" cy="1096612"/>
    <xdr:pic>
      <xdr:nvPicPr>
        <xdr:cNvPr id="2" name="Рисунок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016958"/>
            </a:clrFrom>
            <a:clrTo>
              <a:srgbClr val="016958">
                <a:alpha val="0"/>
              </a:srgbClr>
            </a:clrTo>
          </a:clrChange>
        </a:blip>
        <a:stretch>
          <a:fillRect/>
        </a:stretch>
      </xdr:blipFill>
      <xdr:spPr>
        <a:xfrm>
          <a:off x="152400" y="47625"/>
          <a:ext cx="2297113" cy="1096612"/>
        </a:xfrm>
        <a:prstGeom prst="rect">
          <a:avLst/>
        </a:prstGeom>
      </xdr:spPr>
    </xdr:pic>
    <xdr:clientData/>
  </xdr:oneCellAnchor>
  <xdr:oneCellAnchor>
    <xdr:from>
      <xdr:col>5</xdr:col>
      <xdr:colOff>323501</xdr:colOff>
      <xdr:row>7</xdr:row>
      <xdr:rowOff>28575</xdr:rowOff>
    </xdr:from>
    <xdr:ext cx="950561" cy="1400176"/>
    <xdr:pic>
      <xdr:nvPicPr>
        <xdr:cNvPr id="3" name="Рисунок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762276" y="2324100"/>
          <a:ext cx="950561" cy="1400176"/>
        </a:xfrm>
        <a:prstGeom prst="rect">
          <a:avLst/>
        </a:prstGeom>
      </xdr:spPr>
    </xdr:pic>
    <xdr:clientData/>
  </xdr:oneCellAnchor>
  <xdr:oneCellAnchor>
    <xdr:from>
      <xdr:col>6</xdr:col>
      <xdr:colOff>371476</xdr:colOff>
      <xdr:row>7</xdr:row>
      <xdr:rowOff>36123</xdr:rowOff>
    </xdr:from>
    <xdr:ext cx="876299" cy="1405443"/>
    <xdr:pic>
      <xdr:nvPicPr>
        <xdr:cNvPr id="4" name="Рисунок 3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6762751" y="2331648"/>
          <a:ext cx="876299" cy="1405443"/>
        </a:xfrm>
        <a:prstGeom prst="rect">
          <a:avLst/>
        </a:prstGeom>
      </xdr:spPr>
    </xdr:pic>
    <xdr:clientData/>
  </xdr:oneCellAnchor>
  <xdr:oneCellAnchor>
    <xdr:from>
      <xdr:col>4</xdr:col>
      <xdr:colOff>85724</xdr:colOff>
      <xdr:row>8</xdr:row>
      <xdr:rowOff>170461</xdr:rowOff>
    </xdr:from>
    <xdr:ext cx="1209675" cy="732080"/>
    <xdr:pic>
      <xdr:nvPicPr>
        <xdr:cNvPr id="5" name="Рисунок 4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4533899" y="2666011"/>
          <a:ext cx="1209675" cy="732080"/>
        </a:xfrm>
        <a:prstGeom prst="rect">
          <a:avLst/>
        </a:prstGeom>
      </xdr:spPr>
    </xdr:pic>
    <xdr:clientData/>
  </xdr:oneCellAnchor>
  <xdr:twoCellAnchor>
    <xdr:from>
      <xdr:col>3</xdr:col>
      <xdr:colOff>266700</xdr:colOff>
      <xdr:row>8</xdr:row>
      <xdr:rowOff>133350</xdr:rowOff>
    </xdr:from>
    <xdr:to>
      <xdr:col>3</xdr:col>
      <xdr:colOff>1085850</xdr:colOff>
      <xdr:row>12</xdr:row>
      <xdr:rowOff>117021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duotone>
            <a:prstClr val="black"/>
            <a:schemeClr val="bg1">
              <a:lumMod val="75000"/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 xmlns="">
                <a14:imgLayer r:embed="rId6">
                  <a14:imgEffect>
                    <a14:saturation sat="0"/>
                  </a14:imgEffect>
                  <a14:imgEffect>
                    <a14:brightnessContrast bright="-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3390900" y="2628900"/>
          <a:ext cx="819150" cy="7837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14</xdr:row>
      <xdr:rowOff>200024</xdr:rowOff>
    </xdr:from>
    <xdr:to>
      <xdr:col>12</xdr:col>
      <xdr:colOff>1543050</xdr:colOff>
      <xdr:row>24</xdr:row>
      <xdr:rowOff>38099</xdr:rowOff>
    </xdr:to>
    <xdr:pic>
      <xdr:nvPicPr>
        <xdr:cNvPr id="8" name="Picture 1047">
          <a:extLst>
            <a:ext uri="{FF2B5EF4-FFF2-40B4-BE49-F238E27FC236}">
              <a16:creationId xmlns:a16="http://schemas.microsoft.com/office/drawing/2014/main" xmlns="" id="{72B90578-06BA-4692-AE48-CEB06B9DC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0" y="3952874"/>
          <a:ext cx="13258800" cy="2390775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breez.ru/catalog/mobilnie-kondicioneri/okon-adapt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44"/>
  <sheetViews>
    <sheetView tabSelected="1" zoomScaleNormal="100" zoomScaleSheetLayoutView="70" workbookViewId="0">
      <pane ySplit="5" topLeftCell="A6" activePane="bottomLeft" state="frozen"/>
      <selection pane="bottomLeft" activeCell="T43" sqref="T43"/>
    </sheetView>
  </sheetViews>
  <sheetFormatPr defaultRowHeight="12.75" outlineLevelCol="1"/>
  <cols>
    <col min="1" max="1" width="11.85546875" hidden="1" customWidth="1" outlineLevel="1"/>
    <col min="2" max="2" width="13.85546875" customWidth="1" collapsed="1"/>
    <col min="3" max="3" width="28.7109375" bestFit="1" customWidth="1"/>
    <col min="4" max="4" width="19.140625" bestFit="1" customWidth="1"/>
    <col min="5" max="6" width="16.7109375" bestFit="1" customWidth="1"/>
    <col min="7" max="7" width="17.140625" bestFit="1" customWidth="1"/>
    <col min="8" max="8" width="10.7109375" customWidth="1"/>
    <col min="9" max="9" width="23" customWidth="1"/>
    <col min="10" max="10" width="15" customWidth="1"/>
    <col min="11" max="12" width="12.5703125" hidden="1" customWidth="1" outlineLevel="1"/>
    <col min="13" max="13" width="13.140625" hidden="1" customWidth="1" outlineLevel="1"/>
    <col min="14" max="14" width="10.42578125" customWidth="1" collapsed="1"/>
    <col min="17" max="17" width="13" customWidth="1"/>
  </cols>
  <sheetData>
    <row r="1" spans="1:17" ht="81.75" customHeight="1">
      <c r="B1" s="157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9"/>
    </row>
    <row r="2" spans="1:17" ht="30.75" customHeight="1"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</row>
    <row r="3" spans="1:17" ht="18">
      <c r="B3" s="52" t="s">
        <v>117</v>
      </c>
      <c r="C3" s="22"/>
      <c r="D3" s="51">
        <v>46023</v>
      </c>
      <c r="E3" s="22"/>
      <c r="F3" s="22"/>
      <c r="G3" s="22"/>
      <c r="H3" s="22"/>
      <c r="I3" s="22" t="s">
        <v>23</v>
      </c>
      <c r="J3" s="22"/>
      <c r="K3" s="22"/>
      <c r="L3" s="22"/>
      <c r="M3" s="22"/>
      <c r="N3" s="22"/>
      <c r="O3" s="22"/>
      <c r="P3" s="173">
        <v>0</v>
      </c>
      <c r="Q3" s="174"/>
    </row>
    <row r="4" spans="1:17" s="18" customFormat="1" ht="12" customHeight="1">
      <c r="A4" s="184" t="s">
        <v>90</v>
      </c>
      <c r="B4" s="166" t="s">
        <v>8</v>
      </c>
      <c r="C4" s="166" t="s">
        <v>9</v>
      </c>
      <c r="D4" s="168" t="s">
        <v>10</v>
      </c>
      <c r="E4" s="170" t="s">
        <v>0</v>
      </c>
      <c r="F4" s="170"/>
      <c r="G4" s="171" t="s">
        <v>2</v>
      </c>
      <c r="H4" s="171" t="s">
        <v>6</v>
      </c>
      <c r="I4" s="171" t="s">
        <v>1</v>
      </c>
      <c r="J4" s="171" t="s">
        <v>11</v>
      </c>
      <c r="K4" s="160" t="s">
        <v>12</v>
      </c>
      <c r="L4" s="162" t="s">
        <v>13</v>
      </c>
      <c r="M4" s="160" t="s">
        <v>25</v>
      </c>
      <c r="N4" s="164" t="s">
        <v>22</v>
      </c>
      <c r="O4" s="162" t="s">
        <v>7</v>
      </c>
      <c r="P4" s="160" t="s">
        <v>24</v>
      </c>
      <c r="Q4" s="179" t="s">
        <v>14</v>
      </c>
    </row>
    <row r="5" spans="1:17" s="18" customFormat="1" ht="41.25" customHeight="1">
      <c r="A5" s="185"/>
      <c r="B5" s="167"/>
      <c r="C5" s="167"/>
      <c r="D5" s="169"/>
      <c r="E5" s="19" t="s">
        <v>3</v>
      </c>
      <c r="F5" s="19" t="s">
        <v>4</v>
      </c>
      <c r="G5" s="172"/>
      <c r="H5" s="172"/>
      <c r="I5" s="172"/>
      <c r="J5" s="172"/>
      <c r="K5" s="161"/>
      <c r="L5" s="163"/>
      <c r="M5" s="161"/>
      <c r="N5" s="165"/>
      <c r="O5" s="163"/>
      <c r="P5" s="161"/>
      <c r="Q5" s="180"/>
    </row>
    <row r="6" spans="1:17" s="2" customFormat="1" ht="18">
      <c r="B6" s="12" t="s">
        <v>16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3"/>
    </row>
    <row r="7" spans="1:17" s="2" customFormat="1" ht="15.75">
      <c r="B7" s="192" t="s">
        <v>118</v>
      </c>
      <c r="C7" s="155"/>
      <c r="D7" s="24"/>
      <c r="E7" s="24"/>
      <c r="F7" s="24"/>
      <c r="G7" s="24"/>
      <c r="H7" s="24"/>
      <c r="I7" s="14" t="s">
        <v>18</v>
      </c>
      <c r="J7" s="15"/>
      <c r="K7" s="8"/>
      <c r="L7" s="9"/>
      <c r="M7" s="9"/>
      <c r="N7" s="10"/>
      <c r="O7" s="10"/>
      <c r="P7" s="34"/>
      <c r="Q7" s="35"/>
    </row>
    <row r="8" spans="1:17" s="2" customFormat="1" ht="15.75">
      <c r="B8" s="192"/>
      <c r="C8" s="155"/>
      <c r="D8" s="24"/>
      <c r="E8" s="24"/>
      <c r="F8" s="24"/>
      <c r="G8" s="24"/>
      <c r="H8" s="24"/>
      <c r="I8" s="14" t="s">
        <v>33</v>
      </c>
      <c r="J8" s="15"/>
      <c r="K8" s="9"/>
      <c r="L8" s="9"/>
      <c r="M8" s="9"/>
      <c r="N8" s="10"/>
      <c r="O8" s="10"/>
      <c r="P8" s="11"/>
      <c r="Q8" s="16"/>
    </row>
    <row r="9" spans="1:17" s="2" customFormat="1" ht="15.75">
      <c r="B9" s="192"/>
      <c r="C9" s="155"/>
      <c r="D9" s="24"/>
      <c r="E9" s="24"/>
      <c r="F9" s="24"/>
      <c r="G9" s="25"/>
      <c r="H9" s="24"/>
      <c r="I9" s="14" t="s">
        <v>19</v>
      </c>
      <c r="J9" s="15"/>
      <c r="K9" s="6"/>
      <c r="L9" s="6"/>
      <c r="M9" s="9"/>
      <c r="N9" s="10"/>
      <c r="O9" s="10"/>
      <c r="P9" s="10"/>
      <c r="Q9" s="17"/>
    </row>
    <row r="10" spans="1:17" s="2" customFormat="1" ht="15.75">
      <c r="B10" s="192"/>
      <c r="C10" s="155"/>
      <c r="D10" s="24"/>
      <c r="E10" s="24"/>
      <c r="F10" s="24"/>
      <c r="G10" s="24"/>
      <c r="H10" s="24"/>
      <c r="I10" s="14" t="s">
        <v>20</v>
      </c>
      <c r="J10" s="15"/>
      <c r="K10" s="9"/>
      <c r="L10" s="9"/>
      <c r="M10" s="9"/>
      <c r="N10" s="10"/>
      <c r="O10" s="10"/>
      <c r="P10" s="10"/>
      <c r="Q10" s="17"/>
    </row>
    <row r="11" spans="1:17" s="2" customFormat="1" ht="15.75">
      <c r="B11" s="192"/>
      <c r="C11" s="155"/>
      <c r="D11" s="24"/>
      <c r="E11" s="24"/>
      <c r="F11" s="24"/>
      <c r="G11" s="24"/>
      <c r="H11" s="24"/>
      <c r="I11" s="14" t="s">
        <v>21</v>
      </c>
      <c r="J11" s="15"/>
      <c r="K11" s="9"/>
      <c r="L11" s="9"/>
      <c r="M11" s="9"/>
      <c r="N11" s="10"/>
      <c r="O11" s="10"/>
      <c r="P11" s="10"/>
      <c r="Q11" s="17"/>
    </row>
    <row r="12" spans="1:17" s="2" customFormat="1" ht="15.75">
      <c r="B12" s="192"/>
      <c r="C12" s="155"/>
      <c r="D12" s="24"/>
      <c r="E12" s="24"/>
      <c r="F12" s="24"/>
      <c r="G12" s="24"/>
      <c r="H12" s="24"/>
      <c r="I12" s="14" t="s">
        <v>32</v>
      </c>
      <c r="J12" s="15"/>
      <c r="K12" s="9"/>
      <c r="L12" s="9"/>
      <c r="M12" s="9"/>
      <c r="N12" s="10"/>
      <c r="O12" s="10"/>
      <c r="P12" s="10"/>
      <c r="Q12" s="17"/>
    </row>
    <row r="13" spans="1:17" s="2" customFormat="1" ht="15.75">
      <c r="B13" s="192"/>
      <c r="C13" s="155"/>
      <c r="D13" s="24"/>
      <c r="E13" s="24"/>
      <c r="F13" s="24"/>
      <c r="G13" s="24"/>
      <c r="H13" s="24"/>
      <c r="I13" s="14" t="s">
        <v>41</v>
      </c>
      <c r="J13" s="15"/>
      <c r="K13" s="9"/>
      <c r="L13" s="9"/>
      <c r="M13" s="9"/>
      <c r="N13" s="10"/>
      <c r="O13" s="10"/>
      <c r="P13" s="10"/>
      <c r="Q13" s="17"/>
    </row>
    <row r="14" spans="1:17" s="2" customFormat="1" ht="15.75">
      <c r="B14" s="3" t="s">
        <v>99</v>
      </c>
      <c r="C14" s="3" t="s">
        <v>43</v>
      </c>
      <c r="D14" s="152" t="s">
        <v>47</v>
      </c>
      <c r="E14" s="138" t="s">
        <v>52</v>
      </c>
      <c r="F14" s="140" t="s">
        <v>53</v>
      </c>
      <c r="G14" s="5" t="s">
        <v>56</v>
      </c>
      <c r="H14" s="152" t="s">
        <v>5</v>
      </c>
      <c r="I14" s="4" t="s">
        <v>58</v>
      </c>
      <c r="J14" s="7" t="s">
        <v>61</v>
      </c>
      <c r="K14" s="23">
        <f>MROUND(N14*0.3,100)</f>
        <v>8200</v>
      </c>
      <c r="L14" s="23">
        <f>MROUND(O14*0.3,100)</f>
        <v>7000</v>
      </c>
      <c r="M14" s="23">
        <f>MROUND(P14*0.3,100)</f>
        <v>5600</v>
      </c>
      <c r="N14" s="188">
        <v>27400</v>
      </c>
      <c r="O14" s="188">
        <v>23190</v>
      </c>
      <c r="P14" s="188">
        <v>18500</v>
      </c>
      <c r="Q14" s="186">
        <f>P14*(1-1*$P$3)</f>
        <v>18500</v>
      </c>
    </row>
    <row r="15" spans="1:17" s="2" customFormat="1" ht="15.75">
      <c r="A15" s="40" t="s">
        <v>91</v>
      </c>
      <c r="B15" s="3" t="s">
        <v>100</v>
      </c>
      <c r="C15" s="3" t="s">
        <v>44</v>
      </c>
      <c r="D15" s="153"/>
      <c r="E15" s="139"/>
      <c r="F15" s="141"/>
      <c r="G15" s="5">
        <v>49</v>
      </c>
      <c r="H15" s="153"/>
      <c r="I15" s="4" t="s">
        <v>59</v>
      </c>
      <c r="J15" s="7" t="s">
        <v>62</v>
      </c>
      <c r="K15" s="20">
        <f>N14-K14</f>
        <v>19200</v>
      </c>
      <c r="L15" s="20">
        <f>O14-L14</f>
        <v>16190</v>
      </c>
      <c r="M15" s="20">
        <f t="shared" ref="M15" si="0">Q14-M14</f>
        <v>12900</v>
      </c>
      <c r="N15" s="189"/>
      <c r="O15" s="189"/>
      <c r="P15" s="189"/>
      <c r="Q15" s="187"/>
    </row>
    <row r="16" spans="1:17" s="2" customFormat="1" ht="15.75">
      <c r="A16" s="41"/>
      <c r="B16" s="28" t="s">
        <v>101</v>
      </c>
      <c r="C16" s="28" t="s">
        <v>45</v>
      </c>
      <c r="D16" s="146" t="s">
        <v>48</v>
      </c>
      <c r="E16" s="142" t="s">
        <v>54</v>
      </c>
      <c r="F16" s="144" t="s">
        <v>55</v>
      </c>
      <c r="G16" s="30" t="s">
        <v>56</v>
      </c>
      <c r="H16" s="146" t="s">
        <v>5</v>
      </c>
      <c r="I16" s="29" t="s">
        <v>58</v>
      </c>
      <c r="J16" s="32" t="s">
        <v>61</v>
      </c>
      <c r="K16" s="31">
        <f t="shared" ref="K16" si="1">MROUND(N16*0.3,100)</f>
        <v>8900</v>
      </c>
      <c r="L16" s="31">
        <f t="shared" ref="L16" si="2">MROUND(O16*0.3,100)</f>
        <v>7500</v>
      </c>
      <c r="M16" s="31">
        <f>MROUND(P16*0.3,100)</f>
        <v>6000</v>
      </c>
      <c r="N16" s="200">
        <v>29600</v>
      </c>
      <c r="O16" s="200">
        <v>25090</v>
      </c>
      <c r="P16" s="200">
        <v>20000</v>
      </c>
      <c r="Q16" s="202">
        <f t="shared" ref="Q16" si="3">P16*(1-1*$P$3)</f>
        <v>20000</v>
      </c>
    </row>
    <row r="17" spans="1:17" s="2" customFormat="1" ht="15.75">
      <c r="A17" s="42" t="s">
        <v>92</v>
      </c>
      <c r="B17" s="28" t="s">
        <v>42</v>
      </c>
      <c r="C17" s="28" t="s">
        <v>46</v>
      </c>
      <c r="D17" s="191"/>
      <c r="E17" s="143"/>
      <c r="F17" s="143"/>
      <c r="G17" s="30">
        <v>49</v>
      </c>
      <c r="H17" s="147"/>
      <c r="I17" s="29" t="s">
        <v>59</v>
      </c>
      <c r="J17" s="32" t="s">
        <v>63</v>
      </c>
      <c r="K17" s="33">
        <f t="shared" ref="K17" si="4">N16-K16</f>
        <v>20700</v>
      </c>
      <c r="L17" s="33">
        <f t="shared" ref="L17" si="5">O16-L16</f>
        <v>17590</v>
      </c>
      <c r="M17" s="33">
        <f t="shared" ref="M17" si="6">Q16-M16</f>
        <v>14000</v>
      </c>
      <c r="N17" s="201"/>
      <c r="O17" s="201"/>
      <c r="P17" s="201"/>
      <c r="Q17" s="203"/>
    </row>
    <row r="18" spans="1:17" s="2" customFormat="1" ht="15.75">
      <c r="B18" s="3" t="s">
        <v>102</v>
      </c>
      <c r="C18" s="3" t="s">
        <v>49</v>
      </c>
      <c r="D18" s="152" t="s">
        <v>51</v>
      </c>
      <c r="E18" s="138" t="s">
        <v>29</v>
      </c>
      <c r="F18" s="140" t="s">
        <v>30</v>
      </c>
      <c r="G18" s="5" t="s">
        <v>57</v>
      </c>
      <c r="H18" s="152" t="s">
        <v>5</v>
      </c>
      <c r="I18" s="4" t="s">
        <v>60</v>
      </c>
      <c r="J18" s="7" t="s">
        <v>17</v>
      </c>
      <c r="K18" s="23">
        <f t="shared" ref="K18" si="7">MROUND(N18*0.3,100)</f>
        <v>10500</v>
      </c>
      <c r="L18" s="23">
        <f t="shared" ref="L18" si="8">MROUND(O18*0.3,100)</f>
        <v>8900</v>
      </c>
      <c r="M18" s="23">
        <f>MROUND(P18*0.3,100)</f>
        <v>7100</v>
      </c>
      <c r="N18" s="188">
        <v>34900</v>
      </c>
      <c r="O18" s="188">
        <v>29590</v>
      </c>
      <c r="P18" s="188">
        <v>23500</v>
      </c>
      <c r="Q18" s="186">
        <f t="shared" ref="Q18" si="9">P18*(1-1*$P$3)</f>
        <v>23500</v>
      </c>
    </row>
    <row r="19" spans="1:17" s="2" customFormat="1" ht="15.75">
      <c r="A19" s="40" t="s">
        <v>93</v>
      </c>
      <c r="B19" s="3" t="s">
        <v>103</v>
      </c>
      <c r="C19" s="3" t="s">
        <v>50</v>
      </c>
      <c r="D19" s="177"/>
      <c r="E19" s="145"/>
      <c r="F19" s="145"/>
      <c r="G19" s="5">
        <v>49</v>
      </c>
      <c r="H19" s="153"/>
      <c r="I19" s="4" t="s">
        <v>59</v>
      </c>
      <c r="J19" s="7" t="s">
        <v>64</v>
      </c>
      <c r="K19" s="20">
        <f t="shared" ref="K19" si="10">N18-K18</f>
        <v>24400</v>
      </c>
      <c r="L19" s="20">
        <f t="shared" ref="L19" si="11">O18-L18</f>
        <v>20690</v>
      </c>
      <c r="M19" s="20">
        <f t="shared" ref="M19" si="12">Q18-M18</f>
        <v>16400</v>
      </c>
      <c r="N19" s="189"/>
      <c r="O19" s="189"/>
      <c r="P19" s="189"/>
      <c r="Q19" s="187"/>
    </row>
    <row r="20" spans="1:17" ht="18">
      <c r="B20" s="12" t="s">
        <v>15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3"/>
    </row>
    <row r="21" spans="1:17" s="2" customFormat="1" ht="15.75" customHeight="1">
      <c r="B21" s="154" t="s">
        <v>119</v>
      </c>
      <c r="C21" s="154"/>
      <c r="D21" s="24"/>
      <c r="E21" s="24"/>
      <c r="F21" s="24"/>
      <c r="G21" s="24"/>
      <c r="H21" s="24"/>
      <c r="I21" s="14" t="s">
        <v>18</v>
      </c>
      <c r="J21" s="15"/>
      <c r="K21" s="9"/>
      <c r="L21" s="9"/>
      <c r="M21" s="9"/>
      <c r="N21" s="10"/>
      <c r="O21" s="10"/>
      <c r="P21" s="190"/>
      <c r="Q21" s="190"/>
    </row>
    <row r="22" spans="1:17" s="2" customFormat="1" ht="15.75" customHeight="1">
      <c r="B22" s="155"/>
      <c r="C22" s="155"/>
      <c r="D22" s="24"/>
      <c r="E22" s="24"/>
      <c r="F22" s="24"/>
      <c r="G22" s="24"/>
      <c r="H22" s="24"/>
      <c r="I22" s="14" t="s">
        <v>33</v>
      </c>
      <c r="J22" s="15"/>
      <c r="K22" s="9"/>
      <c r="L22" s="9"/>
      <c r="M22" s="9"/>
      <c r="N22" s="10"/>
      <c r="O22" s="10"/>
      <c r="P22" s="11"/>
      <c r="Q22" s="38"/>
    </row>
    <row r="23" spans="1:17" s="2" customFormat="1" ht="15.75" customHeight="1">
      <c r="B23" s="155"/>
      <c r="C23" s="155"/>
      <c r="D23" s="24"/>
      <c r="E23" s="24"/>
      <c r="F23" s="24"/>
      <c r="G23" s="25"/>
      <c r="H23" s="24"/>
      <c r="I23" s="14" t="s">
        <v>19</v>
      </c>
      <c r="J23" s="15"/>
      <c r="K23" s="6"/>
      <c r="L23" s="6"/>
      <c r="M23" s="9"/>
      <c r="N23" s="10"/>
      <c r="O23" s="10"/>
      <c r="P23" s="10"/>
      <c r="Q23" s="10"/>
    </row>
    <row r="24" spans="1:17" s="2" customFormat="1" ht="12.75" customHeight="1">
      <c r="B24" s="155"/>
      <c r="C24" s="155"/>
      <c r="D24" s="39"/>
      <c r="E24" s="39"/>
      <c r="F24" s="39"/>
      <c r="G24" s="39"/>
      <c r="H24" s="39"/>
      <c r="I24" s="14" t="s">
        <v>20</v>
      </c>
      <c r="J24" s="39"/>
      <c r="K24" s="39"/>
      <c r="L24" s="39"/>
      <c r="M24" s="39"/>
      <c r="N24" s="39"/>
      <c r="O24" s="39"/>
      <c r="P24" s="39"/>
      <c r="Q24" s="39"/>
    </row>
    <row r="25" spans="1:17" s="2" customFormat="1" ht="12.75" customHeight="1">
      <c r="B25" s="155"/>
      <c r="C25" s="155"/>
      <c r="D25" s="39"/>
      <c r="E25" s="39"/>
      <c r="F25" s="39"/>
      <c r="G25" s="39"/>
      <c r="H25" s="39"/>
      <c r="I25" s="14" t="s">
        <v>21</v>
      </c>
      <c r="J25" s="39"/>
      <c r="K25" s="39"/>
      <c r="L25" s="39"/>
      <c r="M25" s="39"/>
      <c r="N25" s="39"/>
      <c r="O25" s="39"/>
      <c r="P25" s="39"/>
      <c r="Q25" s="39"/>
    </row>
    <row r="26" spans="1:17" s="2" customFormat="1" ht="12.75" customHeight="1">
      <c r="B26" s="155"/>
      <c r="C26" s="155"/>
      <c r="D26" s="39"/>
      <c r="E26" s="39"/>
      <c r="F26" s="39"/>
      <c r="G26" s="39"/>
      <c r="H26" s="39"/>
      <c r="I26" s="14" t="s">
        <v>32</v>
      </c>
      <c r="J26" s="39"/>
      <c r="K26" s="39"/>
      <c r="L26" s="39"/>
      <c r="M26" s="39"/>
      <c r="N26" s="39"/>
      <c r="O26" s="39"/>
      <c r="P26" s="39"/>
      <c r="Q26" s="39"/>
    </row>
    <row r="27" spans="1:17" s="2" customFormat="1" ht="21">
      <c r="B27" s="156"/>
      <c r="C27" s="156"/>
      <c r="D27" s="39"/>
      <c r="E27" s="39"/>
      <c r="F27" s="39"/>
      <c r="G27" s="39"/>
      <c r="H27" s="39"/>
      <c r="I27" s="27" t="s">
        <v>65</v>
      </c>
      <c r="J27" s="39"/>
      <c r="K27" s="39"/>
      <c r="L27" s="39"/>
      <c r="M27" s="39"/>
      <c r="N27" s="39"/>
      <c r="O27" s="39"/>
      <c r="P27" s="39"/>
      <c r="Q27" s="39"/>
    </row>
    <row r="28" spans="1:17" s="2" customFormat="1" ht="15.75">
      <c r="B28" s="3" t="s">
        <v>104</v>
      </c>
      <c r="C28" s="3" t="s">
        <v>66</v>
      </c>
      <c r="D28" s="181" t="s">
        <v>76</v>
      </c>
      <c r="E28" s="148">
        <v>2.0499999999999998</v>
      </c>
      <c r="F28" s="148">
        <v>2.2000000000000002</v>
      </c>
      <c r="G28" s="36" t="s">
        <v>34</v>
      </c>
      <c r="H28" s="152" t="s">
        <v>5</v>
      </c>
      <c r="I28" s="4" t="s">
        <v>26</v>
      </c>
      <c r="J28" s="5" t="s">
        <v>28</v>
      </c>
      <c r="K28" s="23">
        <f>MROUND(N28*0.3,100)</f>
        <v>6100</v>
      </c>
      <c r="L28" s="23">
        <f>MROUND(O28*0.3,100)</f>
        <v>5200</v>
      </c>
      <c r="M28" s="23">
        <f>MROUND(P28*0.3,100)</f>
        <v>4100</v>
      </c>
      <c r="N28" s="175">
        <v>20300</v>
      </c>
      <c r="O28" s="175">
        <v>17190</v>
      </c>
      <c r="P28" s="175">
        <v>13700</v>
      </c>
      <c r="Q28" s="196">
        <f>P28*(1-1*$P$3)</f>
        <v>13700</v>
      </c>
    </row>
    <row r="29" spans="1:17" s="2" customFormat="1" ht="15.75">
      <c r="A29" s="40" t="s">
        <v>94</v>
      </c>
      <c r="B29" s="3" t="s">
        <v>113</v>
      </c>
      <c r="C29" s="3" t="s">
        <v>67</v>
      </c>
      <c r="D29" s="134"/>
      <c r="E29" s="134"/>
      <c r="F29" s="149"/>
      <c r="G29" s="36">
        <v>48</v>
      </c>
      <c r="H29" s="153"/>
      <c r="I29" s="4" t="s">
        <v>27</v>
      </c>
      <c r="J29" s="7" t="s">
        <v>79</v>
      </c>
      <c r="K29" s="20">
        <f>N28-K28</f>
        <v>14200</v>
      </c>
      <c r="L29" s="20">
        <f>O28-L28</f>
        <v>11990</v>
      </c>
      <c r="M29" s="20">
        <f>P28-M28</f>
        <v>9600</v>
      </c>
      <c r="N29" s="176"/>
      <c r="O29" s="176"/>
      <c r="P29" s="176"/>
      <c r="Q29" s="134"/>
    </row>
    <row r="30" spans="1:17" s="2" customFormat="1" ht="15.75">
      <c r="B30" s="28" t="s">
        <v>105</v>
      </c>
      <c r="C30" s="28" t="s">
        <v>68</v>
      </c>
      <c r="D30" s="182" t="s">
        <v>86</v>
      </c>
      <c r="E30" s="150">
        <v>2.65</v>
      </c>
      <c r="F30" s="150">
        <v>2.7</v>
      </c>
      <c r="G30" s="37" t="s">
        <v>35</v>
      </c>
      <c r="H30" s="146" t="s">
        <v>5</v>
      </c>
      <c r="I30" s="29" t="s">
        <v>26</v>
      </c>
      <c r="J30" s="30" t="s">
        <v>28</v>
      </c>
      <c r="K30" s="31">
        <f t="shared" ref="K30" si="13">MROUND(N30*0.3,100)</f>
        <v>6500</v>
      </c>
      <c r="L30" s="31">
        <f t="shared" ref="L30" si="14">MROUND(O30*0.3,100)</f>
        <v>5500</v>
      </c>
      <c r="M30" s="31">
        <f>MROUND(P30*0.3,100)</f>
        <v>4400</v>
      </c>
      <c r="N30" s="197">
        <v>21700</v>
      </c>
      <c r="O30" s="197">
        <v>18390</v>
      </c>
      <c r="P30" s="197">
        <v>14700</v>
      </c>
      <c r="Q30" s="199">
        <f t="shared" ref="Q30" si="15">P30*(1-1*$P$3)</f>
        <v>14700</v>
      </c>
    </row>
    <row r="31" spans="1:17" s="2" customFormat="1" ht="15.75">
      <c r="A31" s="40" t="s">
        <v>95</v>
      </c>
      <c r="B31" s="28" t="s">
        <v>106</v>
      </c>
      <c r="C31" s="28" t="s">
        <v>69</v>
      </c>
      <c r="D31" s="182"/>
      <c r="E31" s="183"/>
      <c r="F31" s="151"/>
      <c r="G31" s="37">
        <v>49</v>
      </c>
      <c r="H31" s="147"/>
      <c r="I31" s="29" t="s">
        <v>27</v>
      </c>
      <c r="J31" s="32" t="s">
        <v>80</v>
      </c>
      <c r="K31" s="33">
        <f t="shared" ref="K31" si="16">N30-K30</f>
        <v>15200</v>
      </c>
      <c r="L31" s="33">
        <f t="shared" ref="L31" si="17">O30-L30</f>
        <v>12890</v>
      </c>
      <c r="M31" s="33">
        <f>P30-M30</f>
        <v>10300</v>
      </c>
      <c r="N31" s="198"/>
      <c r="O31" s="198"/>
      <c r="P31" s="198"/>
      <c r="Q31" s="183"/>
    </row>
    <row r="32" spans="1:17" s="2" customFormat="1" ht="15.75">
      <c r="B32" s="3" t="s">
        <v>107</v>
      </c>
      <c r="C32" s="3" t="s">
        <v>70</v>
      </c>
      <c r="D32" s="181" t="s">
        <v>87</v>
      </c>
      <c r="E32" s="148">
        <v>3.45</v>
      </c>
      <c r="F32" s="148">
        <v>3.65</v>
      </c>
      <c r="G32" s="36" t="s">
        <v>36</v>
      </c>
      <c r="H32" s="152" t="s">
        <v>5</v>
      </c>
      <c r="I32" s="4" t="s">
        <v>31</v>
      </c>
      <c r="J32" s="7" t="s">
        <v>81</v>
      </c>
      <c r="K32" s="23">
        <f>MROUND(N32*0.3,100)</f>
        <v>9200</v>
      </c>
      <c r="L32" s="23">
        <f>MROUND(O32*0.3,100)</f>
        <v>7800</v>
      </c>
      <c r="M32" s="23">
        <f>MROUND(P32*0.3,100)</f>
        <v>6200</v>
      </c>
      <c r="N32" s="175">
        <v>30600</v>
      </c>
      <c r="O32" s="175">
        <v>25890</v>
      </c>
      <c r="P32" s="175">
        <v>20600</v>
      </c>
      <c r="Q32" s="196">
        <f t="shared" ref="Q32" si="18">P32*(1-1*$P$3)</f>
        <v>20600</v>
      </c>
    </row>
    <row r="33" spans="1:17" s="2" customFormat="1" ht="15.75">
      <c r="A33" s="40" t="s">
        <v>96</v>
      </c>
      <c r="B33" s="3" t="s">
        <v>108</v>
      </c>
      <c r="C33" s="3" t="s">
        <v>71</v>
      </c>
      <c r="D33" s="181"/>
      <c r="E33" s="134"/>
      <c r="F33" s="149"/>
      <c r="G33" s="36">
        <v>50</v>
      </c>
      <c r="H33" s="153"/>
      <c r="I33" s="4" t="s">
        <v>39</v>
      </c>
      <c r="J33" s="7" t="s">
        <v>82</v>
      </c>
      <c r="K33" s="20">
        <f>N32-K32</f>
        <v>21400</v>
      </c>
      <c r="L33" s="20">
        <f>O32-L32</f>
        <v>18090</v>
      </c>
      <c r="M33" s="20">
        <f>P32-M32</f>
        <v>14400</v>
      </c>
      <c r="N33" s="176"/>
      <c r="O33" s="176"/>
      <c r="P33" s="176"/>
      <c r="Q33" s="134"/>
    </row>
    <row r="34" spans="1:17" s="2" customFormat="1" ht="15.75">
      <c r="B34" s="28" t="s">
        <v>109</v>
      </c>
      <c r="C34" s="28" t="s">
        <v>72</v>
      </c>
      <c r="D34" s="182" t="s">
        <v>88</v>
      </c>
      <c r="E34" s="150">
        <v>5</v>
      </c>
      <c r="F34" s="150">
        <v>5.15</v>
      </c>
      <c r="G34" s="37" t="s">
        <v>77</v>
      </c>
      <c r="H34" s="146" t="s">
        <v>5</v>
      </c>
      <c r="I34" s="29" t="s">
        <v>38</v>
      </c>
      <c r="J34" s="32" t="s">
        <v>83</v>
      </c>
      <c r="K34" s="31">
        <f t="shared" ref="K34" si="19">MROUND(N34*0.3,100)</f>
        <v>15200</v>
      </c>
      <c r="L34" s="31">
        <f t="shared" ref="L34" si="20">MROUND(O34*0.3,100)</f>
        <v>12900</v>
      </c>
      <c r="M34" s="31">
        <f>MROUND(P34*0.3,100)</f>
        <v>10200</v>
      </c>
      <c r="N34" s="197">
        <v>50600</v>
      </c>
      <c r="O34" s="197">
        <v>42890</v>
      </c>
      <c r="P34" s="197">
        <v>34100</v>
      </c>
      <c r="Q34" s="199">
        <f t="shared" ref="Q34" si="21">P34*(1-1*$P$3)</f>
        <v>34100</v>
      </c>
    </row>
    <row r="35" spans="1:17" s="2" customFormat="1" ht="15.75">
      <c r="A35" s="40" t="s">
        <v>97</v>
      </c>
      <c r="B35" s="28" t="s">
        <v>110</v>
      </c>
      <c r="C35" s="28" t="s">
        <v>73</v>
      </c>
      <c r="D35" s="182"/>
      <c r="E35" s="183"/>
      <c r="F35" s="151"/>
      <c r="G35" s="37">
        <v>52</v>
      </c>
      <c r="H35" s="147"/>
      <c r="I35" s="29" t="s">
        <v>40</v>
      </c>
      <c r="J35" s="32" t="s">
        <v>84</v>
      </c>
      <c r="K35" s="33">
        <f t="shared" ref="K35" si="22">N34-K34</f>
        <v>35400</v>
      </c>
      <c r="L35" s="33">
        <f t="shared" ref="L35" si="23">O34-L34</f>
        <v>29990</v>
      </c>
      <c r="M35" s="33">
        <f>P34-M34</f>
        <v>23900</v>
      </c>
      <c r="N35" s="198"/>
      <c r="O35" s="198"/>
      <c r="P35" s="198"/>
      <c r="Q35" s="183"/>
    </row>
    <row r="36" spans="1:17" s="2" customFormat="1" ht="15.75">
      <c r="B36" s="3" t="s">
        <v>111</v>
      </c>
      <c r="C36" s="3" t="s">
        <v>74</v>
      </c>
      <c r="D36" s="181" t="s">
        <v>89</v>
      </c>
      <c r="E36" s="148">
        <v>6.8</v>
      </c>
      <c r="F36" s="148">
        <v>6.9</v>
      </c>
      <c r="G36" s="36" t="s">
        <v>37</v>
      </c>
      <c r="H36" s="181" t="s">
        <v>5</v>
      </c>
      <c r="I36" s="4" t="s">
        <v>38</v>
      </c>
      <c r="J36" s="7" t="s">
        <v>83</v>
      </c>
      <c r="K36" s="23">
        <f>MROUND(N36*0.3,100)</f>
        <v>19500</v>
      </c>
      <c r="L36" s="23">
        <f>MROUND(O36*0.3,100)</f>
        <v>16500</v>
      </c>
      <c r="M36" s="23">
        <f>MROUND(P36*0.3,100)</f>
        <v>13100</v>
      </c>
      <c r="N36" s="175">
        <v>64900</v>
      </c>
      <c r="O36" s="175">
        <v>54990</v>
      </c>
      <c r="P36" s="175">
        <v>43800</v>
      </c>
      <c r="Q36" s="196">
        <f t="shared" ref="Q36" si="24">P36*(1-1*$P$3)</f>
        <v>43800</v>
      </c>
    </row>
    <row r="37" spans="1:17" s="2" customFormat="1" ht="15.75">
      <c r="A37" s="40" t="s">
        <v>98</v>
      </c>
      <c r="B37" s="3" t="s">
        <v>112</v>
      </c>
      <c r="C37" s="3" t="s">
        <v>75</v>
      </c>
      <c r="D37" s="181"/>
      <c r="E37" s="134"/>
      <c r="F37" s="149"/>
      <c r="G37" s="36">
        <v>54</v>
      </c>
      <c r="H37" s="181"/>
      <c r="I37" s="4" t="s">
        <v>78</v>
      </c>
      <c r="J37" s="7" t="s">
        <v>85</v>
      </c>
      <c r="K37" s="20">
        <f>N36-K36</f>
        <v>45400</v>
      </c>
      <c r="L37" s="20">
        <f>O36-L36</f>
        <v>38490</v>
      </c>
      <c r="M37" s="20">
        <f>P36-M36</f>
        <v>30700</v>
      </c>
      <c r="N37" s="176"/>
      <c r="O37" s="176"/>
      <c r="P37" s="176"/>
      <c r="Q37" s="134"/>
    </row>
    <row r="38" spans="1:17" s="2" customFormat="1" ht="18">
      <c r="B38" s="12" t="s">
        <v>116</v>
      </c>
      <c r="C38" s="26"/>
      <c r="D38" s="24"/>
      <c r="E38" s="43"/>
      <c r="F38" s="44"/>
      <c r="G38" s="44"/>
      <c r="H38" s="44"/>
      <c r="I38" s="45"/>
      <c r="J38" s="44"/>
      <c r="K38" s="46"/>
      <c r="L38" s="46"/>
      <c r="M38" s="46"/>
      <c r="N38" s="47"/>
      <c r="O38" s="47"/>
      <c r="P38" s="48"/>
      <c r="Q38" s="48"/>
    </row>
    <row r="39" spans="1:17" s="2" customFormat="1" ht="98.25" customHeight="1">
      <c r="B39" s="133"/>
      <c r="C39" s="134"/>
      <c r="D39" s="134"/>
      <c r="E39" s="133"/>
      <c r="F39" s="134"/>
      <c r="G39" s="134"/>
      <c r="H39" s="134"/>
      <c r="I39" s="193"/>
      <c r="J39" s="194"/>
      <c r="K39" s="194"/>
      <c r="L39" s="194"/>
      <c r="M39" s="194"/>
      <c r="N39" s="194"/>
      <c r="O39" s="194"/>
      <c r="P39" s="194"/>
      <c r="Q39" s="195"/>
    </row>
    <row r="40" spans="1:17" s="2" customFormat="1" ht="15.75">
      <c r="B40" s="3" t="s">
        <v>114</v>
      </c>
      <c r="C40" s="3" t="s">
        <v>115</v>
      </c>
      <c r="D40" s="21" t="s">
        <v>115</v>
      </c>
      <c r="E40" s="135"/>
      <c r="F40" s="136"/>
      <c r="G40" s="136"/>
      <c r="H40" s="136"/>
      <c r="I40" s="136"/>
      <c r="J40" s="136"/>
      <c r="K40" s="137"/>
      <c r="L40" s="49"/>
      <c r="M40" s="49"/>
      <c r="N40" s="53">
        <v>2700</v>
      </c>
      <c r="O40" s="53">
        <v>2390</v>
      </c>
      <c r="P40" s="53">
        <v>1900</v>
      </c>
      <c r="Q40" s="50">
        <f>P40*(1-1*$P$3)</f>
        <v>1900</v>
      </c>
    </row>
    <row r="41" spans="1:17" s="2" customFormat="1" ht="15.75">
      <c r="A41" s="54"/>
      <c r="B41" s="55"/>
      <c r="C41" s="55"/>
      <c r="D41" s="56"/>
      <c r="E41" s="57"/>
      <c r="F41" s="58"/>
      <c r="G41" s="58"/>
      <c r="H41" s="58"/>
      <c r="I41" s="59"/>
      <c r="J41" s="58"/>
      <c r="K41" s="60"/>
      <c r="L41" s="60"/>
      <c r="M41" s="60"/>
      <c r="N41" s="61"/>
      <c r="O41" s="61"/>
      <c r="P41" s="62"/>
      <c r="Q41" s="62"/>
    </row>
    <row r="42" spans="1:17" ht="36" customHeight="1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</row>
    <row r="43" spans="1:17" ht="33.75" customHeight="1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</row>
    <row r="44" spans="1:17" ht="16.5" customHeight="1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</row>
  </sheetData>
  <mergeCells count="90">
    <mergeCell ref="P16:P17"/>
    <mergeCell ref="P18:P19"/>
    <mergeCell ref="Q16:Q17"/>
    <mergeCell ref="Q18:Q19"/>
    <mergeCell ref="N16:N17"/>
    <mergeCell ref="N18:N19"/>
    <mergeCell ref="O16:O17"/>
    <mergeCell ref="O18:O19"/>
    <mergeCell ref="O34:O35"/>
    <mergeCell ref="P34:P35"/>
    <mergeCell ref="N28:N29"/>
    <mergeCell ref="N34:N35"/>
    <mergeCell ref="Q34:Q35"/>
    <mergeCell ref="D14:D15"/>
    <mergeCell ref="I39:Q39"/>
    <mergeCell ref="P36:P37"/>
    <mergeCell ref="Q36:Q37"/>
    <mergeCell ref="Q28:Q29"/>
    <mergeCell ref="N30:N31"/>
    <mergeCell ref="O30:O31"/>
    <mergeCell ref="P30:P31"/>
    <mergeCell ref="Q30:Q31"/>
    <mergeCell ref="N32:N33"/>
    <mergeCell ref="O32:O33"/>
    <mergeCell ref="P32:P33"/>
    <mergeCell ref="Q32:Q33"/>
    <mergeCell ref="O28:O29"/>
    <mergeCell ref="P28:P29"/>
    <mergeCell ref="O36:O37"/>
    <mergeCell ref="A4:A5"/>
    <mergeCell ref="Q14:Q15"/>
    <mergeCell ref="P14:P15"/>
    <mergeCell ref="P21:Q21"/>
    <mergeCell ref="D30:D31"/>
    <mergeCell ref="E30:E31"/>
    <mergeCell ref="F30:F31"/>
    <mergeCell ref="H28:H29"/>
    <mergeCell ref="H30:H31"/>
    <mergeCell ref="D16:D17"/>
    <mergeCell ref="H18:H19"/>
    <mergeCell ref="D28:D29"/>
    <mergeCell ref="O14:O15"/>
    <mergeCell ref="N14:N15"/>
    <mergeCell ref="H14:H15"/>
    <mergeCell ref="B7:C13"/>
    <mergeCell ref="N36:N37"/>
    <mergeCell ref="D18:D19"/>
    <mergeCell ref="O4:O5"/>
    <mergeCell ref="B2:Q2"/>
    <mergeCell ref="J4:J5"/>
    <mergeCell ref="P4:P5"/>
    <mergeCell ref="Q4:Q5"/>
    <mergeCell ref="F36:F37"/>
    <mergeCell ref="H36:H37"/>
    <mergeCell ref="H34:H35"/>
    <mergeCell ref="D32:D33"/>
    <mergeCell ref="D34:D35"/>
    <mergeCell ref="D36:D37"/>
    <mergeCell ref="E32:E33"/>
    <mergeCell ref="F32:F33"/>
    <mergeCell ref="E34:E35"/>
    <mergeCell ref="B1:Q1"/>
    <mergeCell ref="K4:K5"/>
    <mergeCell ref="L4:L5"/>
    <mergeCell ref="M4:M5"/>
    <mergeCell ref="N4:N5"/>
    <mergeCell ref="B4:B5"/>
    <mergeCell ref="C4:C5"/>
    <mergeCell ref="D4:D5"/>
    <mergeCell ref="E4:F4"/>
    <mergeCell ref="G4:G5"/>
    <mergeCell ref="H4:H5"/>
    <mergeCell ref="P3:Q3"/>
    <mergeCell ref="I4:I5"/>
    <mergeCell ref="B39:D39"/>
    <mergeCell ref="E40:K40"/>
    <mergeCell ref="E14:E15"/>
    <mergeCell ref="F14:F15"/>
    <mergeCell ref="E16:E17"/>
    <mergeCell ref="F16:F17"/>
    <mergeCell ref="E18:E19"/>
    <mergeCell ref="F18:F19"/>
    <mergeCell ref="H16:H17"/>
    <mergeCell ref="E28:E29"/>
    <mergeCell ref="F28:F29"/>
    <mergeCell ref="F34:F35"/>
    <mergeCell ref="E36:E37"/>
    <mergeCell ref="H32:H33"/>
    <mergeCell ref="E39:H39"/>
    <mergeCell ref="B21:C27"/>
  </mergeCells>
  <conditionalFormatting sqref="B32:C33">
    <cfRule type="duplicateValues" dxfId="8" priority="4"/>
  </conditionalFormatting>
  <conditionalFormatting sqref="B36:C37">
    <cfRule type="duplicateValues" dxfId="7" priority="3"/>
  </conditionalFormatting>
  <conditionalFormatting sqref="C14:C15">
    <cfRule type="duplicateValues" dxfId="6" priority="8"/>
  </conditionalFormatting>
  <conditionalFormatting sqref="C16:C17">
    <cfRule type="duplicateValues" dxfId="5" priority="6"/>
  </conditionalFormatting>
  <conditionalFormatting sqref="C18:C19">
    <cfRule type="duplicateValues" dxfId="4" priority="7"/>
  </conditionalFormatting>
  <conditionalFormatting sqref="C28:C29">
    <cfRule type="duplicateValues" dxfId="3" priority="5"/>
  </conditionalFormatting>
  <conditionalFormatting sqref="C30:C31">
    <cfRule type="duplicateValues" dxfId="2" priority="2"/>
  </conditionalFormatting>
  <conditionalFormatting sqref="C34:C35">
    <cfRule type="duplicateValues" dxfId="1" priority="1"/>
  </conditionalFormatting>
  <conditionalFormatting sqref="C38:C41">
    <cfRule type="duplicateValues" dxfId="0" priority="15"/>
  </conditionalFormatting>
  <pageMargins left="0.25" right="0.25" top="0.75" bottom="0.75" header="0.3" footer="0.3"/>
  <pageSetup paperSize="9" scale="4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1"/>
  <sheetViews>
    <sheetView zoomScale="115" zoomScaleNormal="115" zoomScaleSheetLayoutView="115" workbookViewId="0">
      <pane ySplit="6" topLeftCell="A7" activePane="bottomLeft" state="frozen"/>
      <selection pane="bottomLeft" activeCell="P18" sqref="P18"/>
    </sheetView>
  </sheetViews>
  <sheetFormatPr defaultRowHeight="12.75"/>
  <cols>
    <col min="1" max="1" width="13.85546875" style="64" customWidth="1"/>
    <col min="2" max="2" width="23" style="64" customWidth="1"/>
    <col min="3" max="3" width="16.85546875" style="64" bestFit="1" customWidth="1"/>
    <col min="4" max="4" width="18.28515625" style="64" customWidth="1"/>
    <col min="5" max="6" width="9.85546875" style="64" customWidth="1"/>
    <col min="7" max="7" width="14.85546875" style="64" customWidth="1"/>
    <col min="8" max="8" width="10.7109375" style="64" customWidth="1"/>
    <col min="9" max="9" width="19.140625" style="64" customWidth="1"/>
    <col min="10" max="10" width="15" style="64" customWidth="1"/>
    <col min="11" max="11" width="11.140625" style="64" customWidth="1"/>
    <col min="12" max="12" width="9.140625" style="64"/>
    <col min="13" max="13" width="11.140625" style="64" customWidth="1"/>
    <col min="14" max="14" width="20.140625" style="64" customWidth="1"/>
    <col min="15" max="16384" width="9.140625" style="64"/>
  </cols>
  <sheetData>
    <row r="1" spans="1:16" ht="57.75" customHeight="1">
      <c r="A1" s="210"/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2"/>
    </row>
    <row r="2" spans="1:16" ht="18">
      <c r="A2" s="65"/>
      <c r="B2" s="66"/>
      <c r="C2" s="66"/>
      <c r="D2" s="66"/>
      <c r="E2" s="66"/>
      <c r="F2" s="66"/>
      <c r="G2" s="66"/>
      <c r="H2" s="66"/>
      <c r="I2" s="66"/>
      <c r="J2" s="66"/>
      <c r="K2" s="213"/>
      <c r="L2" s="213"/>
      <c r="M2" s="213"/>
      <c r="N2" s="213"/>
    </row>
    <row r="3" spans="1:16" ht="25.5" customHeight="1">
      <c r="A3" s="104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</row>
    <row r="4" spans="1:16" ht="18">
      <c r="A4" s="52" t="s">
        <v>117</v>
      </c>
      <c r="B4" s="22"/>
      <c r="C4" s="51">
        <v>46023</v>
      </c>
      <c r="D4" s="67"/>
      <c r="E4" s="67"/>
      <c r="F4" s="67"/>
      <c r="G4" s="67"/>
      <c r="H4" s="67"/>
      <c r="I4" s="67"/>
      <c r="J4" s="68"/>
      <c r="K4" s="69"/>
      <c r="L4" s="69"/>
      <c r="M4" s="70" t="s">
        <v>23</v>
      </c>
      <c r="N4" s="71">
        <v>0</v>
      </c>
    </row>
    <row r="5" spans="1:16" s="72" customFormat="1" ht="27.75" customHeight="1">
      <c r="A5" s="214" t="s">
        <v>8</v>
      </c>
      <c r="B5" s="214" t="s">
        <v>9</v>
      </c>
      <c r="C5" s="216" t="s">
        <v>10</v>
      </c>
      <c r="D5" s="216" t="s">
        <v>120</v>
      </c>
      <c r="E5" s="218" t="s">
        <v>0</v>
      </c>
      <c r="F5" s="218"/>
      <c r="G5" s="219" t="s">
        <v>2</v>
      </c>
      <c r="H5" s="219" t="s">
        <v>121</v>
      </c>
      <c r="I5" s="219" t="s">
        <v>1</v>
      </c>
      <c r="J5" s="220" t="s">
        <v>11</v>
      </c>
      <c r="K5" s="221" t="s">
        <v>122</v>
      </c>
      <c r="L5" s="221" t="s">
        <v>7</v>
      </c>
      <c r="M5" s="222" t="s">
        <v>24</v>
      </c>
      <c r="N5" s="222" t="s">
        <v>14</v>
      </c>
      <c r="O5" s="64"/>
      <c r="P5" s="64"/>
    </row>
    <row r="6" spans="1:16" s="72" customFormat="1" ht="21.75" customHeight="1">
      <c r="A6" s="215"/>
      <c r="B6" s="215"/>
      <c r="C6" s="217"/>
      <c r="D6" s="217"/>
      <c r="E6" s="73" t="s">
        <v>3</v>
      </c>
      <c r="F6" s="73" t="s">
        <v>4</v>
      </c>
      <c r="G6" s="220"/>
      <c r="H6" s="220"/>
      <c r="I6" s="220"/>
      <c r="J6" s="220"/>
      <c r="K6" s="221"/>
      <c r="L6" s="221"/>
      <c r="M6" s="222"/>
      <c r="N6" s="222"/>
      <c r="O6" s="64"/>
    </row>
    <row r="7" spans="1:16" s="72" customFormat="1" ht="21.75" customHeight="1">
      <c r="A7" s="74" t="s">
        <v>123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6"/>
      <c r="O7" s="64"/>
    </row>
    <row r="8" spans="1:16" ht="15.75">
      <c r="A8" s="204" t="s">
        <v>124</v>
      </c>
      <c r="B8" s="205"/>
      <c r="C8" s="207"/>
      <c r="D8" s="207"/>
      <c r="E8" s="207"/>
      <c r="F8" s="207"/>
      <c r="G8" s="207"/>
      <c r="H8" s="207"/>
      <c r="I8" s="77" t="s">
        <v>125</v>
      </c>
      <c r="J8" s="78"/>
      <c r="K8" s="79"/>
      <c r="L8" s="79"/>
      <c r="M8" s="208"/>
      <c r="N8" s="209"/>
    </row>
    <row r="9" spans="1:16" ht="15.75">
      <c r="A9" s="206"/>
      <c r="B9" s="205"/>
      <c r="C9" s="207"/>
      <c r="D9" s="207"/>
      <c r="E9" s="207"/>
      <c r="F9" s="207"/>
      <c r="G9" s="207"/>
      <c r="H9" s="207"/>
      <c r="I9" s="77" t="s">
        <v>126</v>
      </c>
      <c r="J9" s="78"/>
      <c r="K9" s="79"/>
      <c r="L9" s="79"/>
      <c r="M9" s="208"/>
      <c r="N9" s="209"/>
    </row>
    <row r="10" spans="1:16" ht="15.75">
      <c r="A10" s="206"/>
      <c r="B10" s="205"/>
      <c r="C10" s="207"/>
      <c r="D10" s="207"/>
      <c r="E10" s="207"/>
      <c r="F10" s="207"/>
      <c r="G10" s="207"/>
      <c r="H10" s="207"/>
      <c r="I10" s="77" t="s">
        <v>127</v>
      </c>
      <c r="J10" s="78"/>
      <c r="K10" s="79"/>
      <c r="L10" s="79"/>
      <c r="M10" s="79"/>
      <c r="N10" s="80"/>
    </row>
    <row r="11" spans="1:16" ht="15.75" customHeight="1">
      <c r="A11" s="206"/>
      <c r="B11" s="205"/>
      <c r="C11" s="207"/>
      <c r="D11" s="207"/>
      <c r="E11" s="207"/>
      <c r="F11" s="207"/>
      <c r="G11" s="207"/>
      <c r="H11" s="207"/>
      <c r="I11" s="77" t="s">
        <v>128</v>
      </c>
      <c r="J11" s="78"/>
      <c r="K11" s="79"/>
      <c r="L11" s="79"/>
      <c r="M11" s="79"/>
      <c r="N11" s="80"/>
    </row>
    <row r="12" spans="1:16" ht="15.75" customHeight="1">
      <c r="A12" s="206"/>
      <c r="B12" s="205"/>
      <c r="C12" s="207"/>
      <c r="D12" s="207"/>
      <c r="E12" s="207"/>
      <c r="F12" s="207"/>
      <c r="G12" s="207"/>
      <c r="H12" s="207"/>
      <c r="I12" s="81" t="s">
        <v>129</v>
      </c>
      <c r="J12" s="78"/>
      <c r="K12" s="79"/>
      <c r="L12" s="79"/>
      <c r="M12" s="79"/>
      <c r="N12" s="80"/>
    </row>
    <row r="13" spans="1:16" ht="15.75" customHeight="1">
      <c r="A13" s="82"/>
      <c r="B13" s="82"/>
      <c r="C13" s="83"/>
      <c r="D13" s="83"/>
      <c r="E13" s="83"/>
      <c r="F13" s="83"/>
      <c r="G13" s="83"/>
      <c r="H13" s="83"/>
      <c r="I13" s="81" t="s">
        <v>130</v>
      </c>
      <c r="J13" s="78"/>
      <c r="K13" s="79"/>
      <c r="L13" s="79"/>
      <c r="M13" s="79"/>
      <c r="N13" s="80"/>
    </row>
    <row r="14" spans="1:16" ht="20.25" customHeight="1">
      <c r="A14" s="82"/>
      <c r="B14" s="82"/>
      <c r="C14" s="83"/>
      <c r="D14" s="83"/>
      <c r="E14" s="83"/>
      <c r="F14" s="83"/>
      <c r="G14" s="83"/>
      <c r="H14" s="83"/>
      <c r="I14" s="81"/>
      <c r="J14" s="78"/>
      <c r="K14" s="79"/>
      <c r="L14" s="79"/>
      <c r="M14" s="79"/>
      <c r="N14" s="80"/>
    </row>
    <row r="15" spans="1:16" ht="15.75">
      <c r="A15" s="84" t="s">
        <v>131</v>
      </c>
      <c r="B15" s="85" t="s">
        <v>132</v>
      </c>
      <c r="C15" s="86" t="s">
        <v>132</v>
      </c>
      <c r="D15" s="87" t="s">
        <v>133</v>
      </c>
      <c r="E15" s="88">
        <v>1.7</v>
      </c>
      <c r="F15" s="89" t="s">
        <v>134</v>
      </c>
      <c r="G15" s="90" t="s">
        <v>135</v>
      </c>
      <c r="H15" s="88" t="s">
        <v>136</v>
      </c>
      <c r="I15" s="91" t="s">
        <v>137</v>
      </c>
      <c r="J15" s="91" t="s">
        <v>138</v>
      </c>
      <c r="K15" s="92">
        <v>23899</v>
      </c>
      <c r="L15" s="92">
        <v>23899</v>
      </c>
      <c r="M15" s="92">
        <v>19409</v>
      </c>
      <c r="N15" s="93">
        <f>M15*(1-$N$4)</f>
        <v>19409</v>
      </c>
    </row>
    <row r="16" spans="1:16" ht="15.75">
      <c r="A16" s="94" t="s">
        <v>139</v>
      </c>
      <c r="B16" s="94" t="s">
        <v>140</v>
      </c>
      <c r="C16" s="95" t="s">
        <v>140</v>
      </c>
      <c r="D16" s="87" t="s">
        <v>133</v>
      </c>
      <c r="E16" s="96">
        <v>2.2000000000000002</v>
      </c>
      <c r="F16" s="97" t="s">
        <v>134</v>
      </c>
      <c r="G16" s="98" t="s">
        <v>141</v>
      </c>
      <c r="H16" s="97" t="s">
        <v>136</v>
      </c>
      <c r="I16" s="99" t="s">
        <v>137</v>
      </c>
      <c r="J16" s="100" t="s">
        <v>142</v>
      </c>
      <c r="K16" s="92">
        <v>25399</v>
      </c>
      <c r="L16" s="93">
        <v>25399</v>
      </c>
      <c r="M16" s="93">
        <v>20629</v>
      </c>
      <c r="N16" s="93">
        <f t="shared" ref="N16:N17" si="0">M16*(1-$N$4)</f>
        <v>20629</v>
      </c>
    </row>
    <row r="17" spans="1:14" ht="15.75">
      <c r="A17" s="101" t="s">
        <v>143</v>
      </c>
      <c r="B17" s="101" t="s">
        <v>144</v>
      </c>
      <c r="C17" s="95" t="s">
        <v>144</v>
      </c>
      <c r="D17" s="87" t="s">
        <v>133</v>
      </c>
      <c r="E17" s="96">
        <v>2.7</v>
      </c>
      <c r="F17" s="97" t="s">
        <v>134</v>
      </c>
      <c r="G17" s="98" t="s">
        <v>145</v>
      </c>
      <c r="H17" s="97" t="s">
        <v>136</v>
      </c>
      <c r="I17" s="102" t="s">
        <v>137</v>
      </c>
      <c r="J17" s="102" t="s">
        <v>146</v>
      </c>
      <c r="K17" s="92">
        <v>28499</v>
      </c>
      <c r="L17" s="93">
        <v>28499</v>
      </c>
      <c r="M17" s="93">
        <v>23171</v>
      </c>
      <c r="N17" s="93">
        <f t="shared" si="0"/>
        <v>23171</v>
      </c>
    </row>
    <row r="18" spans="1:14" ht="77.25" customHeight="1">
      <c r="A18" s="103"/>
      <c r="B18" s="103"/>
      <c r="C18" s="103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</row>
    <row r="19" spans="1:14" ht="12.75" customHeight="1">
      <c r="A19" s="103"/>
      <c r="B19" s="103"/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</row>
    <row r="20" spans="1:14" ht="12.75" customHeight="1">
      <c r="A20" s="103"/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</row>
    <row r="21" spans="1:14" ht="12.75" customHeight="1"/>
  </sheetData>
  <mergeCells count="19">
    <mergeCell ref="L5:L6"/>
    <mergeCell ref="M5:M6"/>
    <mergeCell ref="N5:N6"/>
    <mergeCell ref="A8:B12"/>
    <mergeCell ref="C8:H12"/>
    <mergeCell ref="M8:N8"/>
    <mergeCell ref="M9:N9"/>
    <mergeCell ref="A1:N1"/>
    <mergeCell ref="K2:N2"/>
    <mergeCell ref="A5:A6"/>
    <mergeCell ref="B5:B6"/>
    <mergeCell ref="C5:C6"/>
    <mergeCell ref="D5:D6"/>
    <mergeCell ref="E5:F5"/>
    <mergeCell ref="G5:G6"/>
    <mergeCell ref="H5:H6"/>
    <mergeCell ref="I5:I6"/>
    <mergeCell ref="J5:J6"/>
    <mergeCell ref="K5:K6"/>
  </mergeCells>
  <pageMargins left="0.25" right="0.25" top="0.75" bottom="0.75" header="0.3" footer="0.3"/>
  <pageSetup paperSize="9" scale="5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1"/>
  <sheetViews>
    <sheetView zoomScaleNormal="100" zoomScaleSheetLayoutView="115" workbookViewId="0">
      <pane ySplit="6" topLeftCell="A7" activePane="bottomLeft" state="frozen"/>
      <selection pane="bottomLeft" activeCell="Q15" sqref="Q15"/>
    </sheetView>
  </sheetViews>
  <sheetFormatPr defaultRowHeight="12.75"/>
  <cols>
    <col min="1" max="1" width="13.85546875" style="64" customWidth="1"/>
    <col min="2" max="2" width="16.140625" style="64" customWidth="1"/>
    <col min="3" max="3" width="16.85546875" style="64" bestFit="1" customWidth="1"/>
    <col min="4" max="4" width="19.85546875" style="64" customWidth="1"/>
    <col min="5" max="5" width="14.85546875" style="64" customWidth="1"/>
    <col min="6" max="7" width="14.28515625" style="64" customWidth="1"/>
    <col min="8" max="8" width="19.140625" style="64" customWidth="1"/>
    <col min="9" max="9" width="15" style="64" customWidth="1"/>
    <col min="10" max="10" width="11.140625" style="64" customWidth="1"/>
    <col min="11" max="11" width="9.140625" style="64"/>
    <col min="12" max="12" width="11.140625" style="64" customWidth="1"/>
    <col min="13" max="13" width="24.28515625" style="64" customWidth="1"/>
    <col min="14" max="16384" width="9.140625" style="64"/>
  </cols>
  <sheetData>
    <row r="1" spans="1:15" ht="57.75" customHeight="1">
      <c r="A1" s="229" t="s">
        <v>147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1"/>
    </row>
    <row r="2" spans="1:15" ht="18">
      <c r="A2" s="105"/>
      <c r="B2" s="106"/>
      <c r="C2" s="106"/>
      <c r="D2" s="106"/>
      <c r="E2" s="106"/>
      <c r="F2" s="106"/>
      <c r="G2" s="106"/>
      <c r="H2" s="106"/>
      <c r="I2" s="106"/>
      <c r="J2" s="232" t="s">
        <v>163</v>
      </c>
      <c r="K2" s="233"/>
      <c r="L2" s="233"/>
      <c r="M2" s="233"/>
    </row>
    <row r="3" spans="1:15" ht="15.75">
      <c r="A3" s="107"/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</row>
    <row r="4" spans="1:15" ht="18">
      <c r="A4" s="232" t="s">
        <v>164</v>
      </c>
      <c r="B4" s="233"/>
      <c r="C4" s="233"/>
      <c r="D4" s="233"/>
      <c r="E4" s="108"/>
      <c r="F4" s="108"/>
      <c r="G4" s="108"/>
      <c r="H4" s="108"/>
      <c r="I4" s="109"/>
      <c r="J4" s="110"/>
      <c r="K4" s="110"/>
      <c r="L4" s="111" t="s">
        <v>23</v>
      </c>
      <c r="M4" s="112">
        <v>0</v>
      </c>
    </row>
    <row r="5" spans="1:15" s="72" customFormat="1" ht="27.75" customHeight="1">
      <c r="A5" s="234" t="s">
        <v>8</v>
      </c>
      <c r="B5" s="234" t="s">
        <v>9</v>
      </c>
      <c r="C5" s="236" t="s">
        <v>10</v>
      </c>
      <c r="D5" s="236" t="s">
        <v>120</v>
      </c>
      <c r="E5" s="238" t="s">
        <v>148</v>
      </c>
      <c r="F5" s="238" t="s">
        <v>149</v>
      </c>
      <c r="G5" s="240" t="s">
        <v>150</v>
      </c>
      <c r="H5" s="238" t="s">
        <v>151</v>
      </c>
      <c r="I5" s="239" t="s">
        <v>11</v>
      </c>
      <c r="J5" s="241" t="s">
        <v>122</v>
      </c>
      <c r="K5" s="241" t="s">
        <v>7</v>
      </c>
      <c r="L5" s="242" t="s">
        <v>24</v>
      </c>
      <c r="M5" s="242" t="s">
        <v>14</v>
      </c>
      <c r="N5" s="64"/>
      <c r="O5" s="64"/>
    </row>
    <row r="6" spans="1:15" s="72" customFormat="1" ht="21.75" customHeight="1">
      <c r="A6" s="235"/>
      <c r="B6" s="235"/>
      <c r="C6" s="237"/>
      <c r="D6" s="237"/>
      <c r="E6" s="239"/>
      <c r="F6" s="239"/>
      <c r="G6" s="238"/>
      <c r="H6" s="239"/>
      <c r="I6" s="239"/>
      <c r="J6" s="241"/>
      <c r="K6" s="241"/>
      <c r="L6" s="242"/>
      <c r="M6" s="242"/>
      <c r="N6" s="64"/>
    </row>
    <row r="7" spans="1:15" s="72" customFormat="1" ht="21.75" customHeight="1">
      <c r="A7" s="113" t="s">
        <v>152</v>
      </c>
      <c r="B7" s="114"/>
      <c r="C7" s="114"/>
      <c r="D7" s="114"/>
      <c r="E7" s="114"/>
      <c r="F7" s="114"/>
      <c r="G7" s="114"/>
      <c r="H7" s="114"/>
      <c r="I7" s="114"/>
      <c r="J7" s="114"/>
      <c r="K7" s="114"/>
      <c r="L7" s="114"/>
      <c r="M7" s="115"/>
      <c r="N7" s="64"/>
    </row>
    <row r="8" spans="1:15" ht="15.75">
      <c r="A8" s="223"/>
      <c r="B8" s="224"/>
      <c r="C8" s="226"/>
      <c r="D8" s="226"/>
      <c r="E8" s="226"/>
      <c r="F8" s="226"/>
      <c r="G8" s="116"/>
      <c r="H8" s="117" t="s">
        <v>153</v>
      </c>
      <c r="I8" s="118"/>
      <c r="J8" s="119"/>
      <c r="K8" s="119"/>
      <c r="L8" s="227"/>
      <c r="M8" s="228"/>
    </row>
    <row r="9" spans="1:15" ht="15.75">
      <c r="A9" s="225"/>
      <c r="B9" s="224"/>
      <c r="C9" s="226"/>
      <c r="D9" s="226"/>
      <c r="E9" s="226"/>
      <c r="F9" s="226"/>
      <c r="G9" s="116"/>
      <c r="H9" s="117" t="s">
        <v>154</v>
      </c>
      <c r="I9" s="118"/>
      <c r="J9" s="119"/>
      <c r="K9" s="119"/>
      <c r="L9" s="120"/>
      <c r="M9" s="121"/>
    </row>
    <row r="10" spans="1:15" ht="15.75">
      <c r="A10" s="225"/>
      <c r="B10" s="224"/>
      <c r="C10" s="226"/>
      <c r="D10" s="226"/>
      <c r="E10" s="226"/>
      <c r="F10" s="226"/>
      <c r="G10" s="116"/>
      <c r="H10" s="117" t="s">
        <v>155</v>
      </c>
      <c r="I10" s="118"/>
      <c r="J10" s="119"/>
      <c r="K10" s="119"/>
      <c r="L10" s="119"/>
      <c r="M10" s="122"/>
    </row>
    <row r="11" spans="1:15" ht="15.75" customHeight="1">
      <c r="A11" s="225"/>
      <c r="B11" s="224"/>
      <c r="C11" s="226"/>
      <c r="D11" s="226"/>
      <c r="E11" s="226"/>
      <c r="F11" s="226"/>
      <c r="G11" s="116"/>
      <c r="H11" s="117" t="s">
        <v>156</v>
      </c>
      <c r="I11" s="118"/>
      <c r="J11" s="119"/>
      <c r="K11" s="119"/>
      <c r="L11" s="119"/>
      <c r="M11" s="122"/>
    </row>
    <row r="12" spans="1:15" ht="15.75" customHeight="1">
      <c r="A12" s="225"/>
      <c r="B12" s="224"/>
      <c r="C12" s="226"/>
      <c r="D12" s="226"/>
      <c r="E12" s="226"/>
      <c r="F12" s="226"/>
      <c r="G12" s="116"/>
      <c r="H12" s="123"/>
      <c r="I12" s="118"/>
      <c r="J12" s="119"/>
      <c r="K12" s="119"/>
      <c r="L12" s="119"/>
      <c r="M12" s="122"/>
    </row>
    <row r="13" spans="1:15" ht="15.75" customHeight="1">
      <c r="A13" s="124"/>
      <c r="B13" s="124"/>
      <c r="C13" s="116"/>
      <c r="D13" s="116"/>
      <c r="E13" s="116"/>
      <c r="F13" s="116"/>
      <c r="G13" s="116"/>
      <c r="H13" s="123"/>
      <c r="I13" s="118"/>
      <c r="J13" s="119"/>
      <c r="K13" s="119"/>
      <c r="L13" s="119"/>
      <c r="M13" s="122"/>
    </row>
    <row r="14" spans="1:15" ht="20.25" customHeight="1">
      <c r="A14" s="124"/>
      <c r="B14" s="124"/>
      <c r="C14" s="116"/>
      <c r="D14" s="116"/>
      <c r="E14" s="116"/>
      <c r="F14" s="116"/>
      <c r="G14" s="116"/>
      <c r="H14" s="123"/>
      <c r="I14" s="118"/>
      <c r="J14" s="119"/>
      <c r="K14" s="119"/>
      <c r="L14" s="119"/>
      <c r="M14" s="125" t="s">
        <v>157</v>
      </c>
    </row>
    <row r="15" spans="1:15" ht="15.75">
      <c r="A15" s="84" t="s">
        <v>158</v>
      </c>
      <c r="B15" s="85" t="s">
        <v>159</v>
      </c>
      <c r="C15" s="85" t="s">
        <v>159</v>
      </c>
      <c r="D15" s="87" t="s">
        <v>133</v>
      </c>
      <c r="E15" s="90" t="s">
        <v>160</v>
      </c>
      <c r="F15" s="88" t="s">
        <v>161</v>
      </c>
      <c r="G15" s="88">
        <v>8000</v>
      </c>
      <c r="H15" s="91" t="s">
        <v>162</v>
      </c>
      <c r="I15" s="91">
        <v>0.25</v>
      </c>
      <c r="J15" s="92">
        <v>1599</v>
      </c>
      <c r="K15" s="92">
        <v>1599</v>
      </c>
      <c r="L15" s="92">
        <v>1109</v>
      </c>
      <c r="M15" s="93">
        <f>L15*(1-$M$4)</f>
        <v>1109</v>
      </c>
    </row>
    <row r="16" spans="1:15" ht="15.75">
      <c r="A16" s="126"/>
      <c r="B16" s="126"/>
      <c r="C16" s="127"/>
      <c r="D16" s="127"/>
      <c r="E16" s="128"/>
      <c r="F16" s="129"/>
      <c r="G16" s="129"/>
      <c r="H16" s="130"/>
      <c r="I16" s="130"/>
      <c r="J16" s="131"/>
      <c r="K16" s="132"/>
      <c r="L16" s="132"/>
      <c r="M16" s="132"/>
    </row>
    <row r="17" spans="1:13" ht="15.75">
      <c r="A17" s="126"/>
      <c r="B17" s="126"/>
      <c r="C17" s="127"/>
      <c r="D17" s="127"/>
      <c r="E17" s="128"/>
      <c r="F17" s="129"/>
      <c r="G17" s="129"/>
      <c r="H17" s="130"/>
      <c r="I17" s="130"/>
      <c r="J17" s="131"/>
      <c r="K17" s="132"/>
      <c r="L17" s="132"/>
      <c r="M17" s="132"/>
    </row>
    <row r="18" spans="1:13" ht="77.25" customHeight="1">
      <c r="A18" s="103"/>
      <c r="B18" s="103"/>
      <c r="C18" s="103"/>
      <c r="D18" s="103"/>
      <c r="E18" s="103"/>
      <c r="F18" s="103"/>
      <c r="G18" s="103"/>
      <c r="H18" s="103"/>
      <c r="I18" s="103"/>
      <c r="J18" s="103"/>
      <c r="K18" s="103"/>
      <c r="L18" s="103"/>
      <c r="M18" s="103"/>
    </row>
    <row r="19" spans="1:13" ht="12.75" customHeight="1">
      <c r="A19" s="103"/>
      <c r="B19" s="103"/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</row>
    <row r="20" spans="1:13" ht="12.75" customHeight="1">
      <c r="A20" s="103"/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</row>
    <row r="21" spans="1:13" ht="12.75" customHeight="1"/>
  </sheetData>
  <mergeCells count="19">
    <mergeCell ref="K5:K6"/>
    <mergeCell ref="L5:L6"/>
    <mergeCell ref="M5:M6"/>
    <mergeCell ref="A8:B12"/>
    <mergeCell ref="C8:F12"/>
    <mergeCell ref="L8:M8"/>
    <mergeCell ref="A1:M1"/>
    <mergeCell ref="J2:M2"/>
    <mergeCell ref="A5:A6"/>
    <mergeCell ref="B5:B6"/>
    <mergeCell ref="C5:C6"/>
    <mergeCell ref="D5:D6"/>
    <mergeCell ref="E5:E6"/>
    <mergeCell ref="F5:F6"/>
    <mergeCell ref="G5:G6"/>
    <mergeCell ref="H5:H6"/>
    <mergeCell ref="A4:D4"/>
    <mergeCell ref="I5:I6"/>
    <mergeCell ref="J5:J6"/>
  </mergeCells>
  <hyperlinks>
    <hyperlink ref="M14" r:id="rId1"/>
  </hyperlinks>
  <pageMargins left="0.25" right="0.25" top="0.75" bottom="0.75" header="0.3" footer="0.3"/>
  <pageSetup paperSize="9" scale="5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СПЛИТ-СИСТЕМЫ</vt:lpstr>
      <vt:lpstr>МОБИЛЬНЫЕ </vt:lpstr>
      <vt:lpstr>Аксессуары для МК</vt:lpstr>
      <vt:lpstr>'Аксессуары для МК'!Область_печати</vt:lpstr>
      <vt:lpstr>'МОБИЛЬНЫЕ '!Область_печати</vt:lpstr>
      <vt:lpstr>'СПЛИТ-СИСТЕМЫ'!Область_печати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Сизов</cp:lastModifiedBy>
  <cp:lastPrinted>2022-06-22T15:19:23Z</cp:lastPrinted>
  <dcterms:created xsi:type="dcterms:W3CDTF">1996-10-08T23:32:33Z</dcterms:created>
  <dcterms:modified xsi:type="dcterms:W3CDTF">2026-01-13T06:33:59Z</dcterms:modified>
</cp:coreProperties>
</file>