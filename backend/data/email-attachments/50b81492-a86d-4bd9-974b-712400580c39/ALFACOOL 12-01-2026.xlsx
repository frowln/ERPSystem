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8_{9099675D-47A5-4B61-A9AB-B2155748521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Бытовые сплит-системы" sheetId="1" r:id="rId1"/>
  </sheets>
  <definedNames>
    <definedName name="_xlnm.Print_Area" localSheetId="0">'Бытовые сплит-системы'!$A$1:$R$44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3" i="1" l="1"/>
  <c r="R31" i="1"/>
  <c r="N12" i="1" l="1"/>
  <c r="M10" i="1"/>
  <c r="R18" i="1" l="1"/>
  <c r="N20" i="1"/>
  <c r="M20" i="1"/>
  <c r="M21" i="1" s="1"/>
  <c r="L20" i="1"/>
  <c r="L21" i="1" s="1"/>
  <c r="N18" i="1"/>
  <c r="M18" i="1"/>
  <c r="M19" i="1" s="1"/>
  <c r="L18" i="1"/>
  <c r="L19" i="1" s="1"/>
  <c r="R20" i="1"/>
  <c r="R26" i="1"/>
  <c r="N26" i="1"/>
  <c r="M26" i="1"/>
  <c r="M27" i="1" s="1"/>
  <c r="L26" i="1"/>
  <c r="L27" i="1" s="1"/>
  <c r="R24" i="1"/>
  <c r="N24" i="1"/>
  <c r="M24" i="1"/>
  <c r="M25" i="1" s="1"/>
  <c r="L24" i="1"/>
  <c r="L25" i="1" s="1"/>
  <c r="R22" i="1"/>
  <c r="N22" i="1"/>
  <c r="M22" i="1"/>
  <c r="M23" i="1" s="1"/>
  <c r="L22" i="1"/>
  <c r="L23" i="1" s="1"/>
  <c r="N10" i="1"/>
  <c r="N8" i="1"/>
  <c r="N33" i="1"/>
  <c r="N31" i="1"/>
  <c r="R37" i="1"/>
  <c r="M33" i="1"/>
  <c r="M34" i="1" s="1"/>
  <c r="L33" i="1"/>
  <c r="L34" i="1" s="1"/>
  <c r="M31" i="1"/>
  <c r="M32" i="1" s="1"/>
  <c r="L31" i="1"/>
  <c r="L32" i="1" s="1"/>
  <c r="R12" i="1"/>
  <c r="R10" i="1"/>
  <c r="R8" i="1"/>
  <c r="M12" i="1"/>
  <c r="M13" i="1" s="1"/>
  <c r="L12" i="1"/>
  <c r="L13" i="1" s="1"/>
  <c r="M11" i="1"/>
  <c r="L10" i="1"/>
  <c r="L11" i="1" s="1"/>
  <c r="M8" i="1"/>
  <c r="M9" i="1" s="1"/>
  <c r="L8" i="1"/>
  <c r="L9" i="1" s="1"/>
  <c r="N11" i="1" l="1"/>
  <c r="N13" i="1"/>
  <c r="N9" i="1"/>
  <c r="N27" i="1"/>
  <c r="N21" i="1"/>
  <c r="N25" i="1"/>
  <c r="N32" i="1"/>
  <c r="N34" i="1"/>
  <c r="N23" i="1"/>
  <c r="N19" i="1"/>
</calcChain>
</file>

<file path=xl/sharedStrings.xml><?xml version="1.0" encoding="utf-8"?>
<sst xmlns="http://schemas.openxmlformats.org/spreadsheetml/2006/main" count="235" uniqueCount="144">
  <si>
    <t>Модель</t>
  </si>
  <si>
    <t>Мощность, кВт</t>
  </si>
  <si>
    <t xml:space="preserve">Класс энергоэф- фективности </t>
  </si>
  <si>
    <t>Габариты блока
(ДхВхГ), мм</t>
  </si>
  <si>
    <t>РИЦ, руб</t>
  </si>
  <si>
    <t>охл.</t>
  </si>
  <si>
    <t>нагр.</t>
  </si>
  <si>
    <t>Комплект</t>
  </si>
  <si>
    <t>А/А</t>
  </si>
  <si>
    <t>КЛАССИЧЕСКИЕ СПЛИТ-СИСТЕМЫ</t>
  </si>
  <si>
    <t>Нетто</t>
  </si>
  <si>
    <t>Брутто</t>
  </si>
  <si>
    <t>Уров. шума
ДБ(A)</t>
  </si>
  <si>
    <t>Вес нетто / брутто, кг</t>
  </si>
  <si>
    <t>715x285x194</t>
  </si>
  <si>
    <t>720x495x270</t>
  </si>
  <si>
    <t>805x285x194</t>
  </si>
  <si>
    <t>957x302x213</t>
  </si>
  <si>
    <t>1040x327x220</t>
  </si>
  <si>
    <t>Розница, руб</t>
  </si>
  <si>
    <t>25,5/32,5/38,5</t>
  </si>
  <si>
    <t>765x555x303</t>
  </si>
  <si>
    <t>890x673x342</t>
  </si>
  <si>
    <t>887x610x337</t>
  </si>
  <si>
    <t>995x740x398</t>
  </si>
  <si>
    <t>780x360x285</t>
  </si>
  <si>
    <t>870x360x285</t>
  </si>
  <si>
    <t>1035x380x305</t>
  </si>
  <si>
    <t>1120x310x405</t>
  </si>
  <si>
    <t>828x540x298</t>
  </si>
  <si>
    <t>10,9 / 13,8</t>
  </si>
  <si>
    <t>24,6 / 26,5</t>
  </si>
  <si>
    <t>Код</t>
  </si>
  <si>
    <t>Артикул</t>
  </si>
  <si>
    <t>Блок</t>
  </si>
  <si>
    <t>Дилерская
цена, руб</t>
  </si>
  <si>
    <t>Ваша Спец цена, руб</t>
  </si>
  <si>
    <t>ИНВЕРТОРНЫЕ СПЛИТ-СИСТЕМЫ</t>
  </si>
  <si>
    <t>APS-07CH</t>
  </si>
  <si>
    <t>APS-09CH</t>
  </si>
  <si>
    <t>APS-12CH</t>
  </si>
  <si>
    <t>APS-18CH</t>
  </si>
  <si>
    <t>APS-24CH</t>
  </si>
  <si>
    <t>APS-07CH/IDU</t>
  </si>
  <si>
    <t>APS-07CH/ODU</t>
  </si>
  <si>
    <t>APS-09CH/IDU</t>
  </si>
  <si>
    <t>APS-09CH/ODU</t>
  </si>
  <si>
    <t>APS-12CH/IDU</t>
  </si>
  <si>
    <t>APS-12CH/ODU</t>
  </si>
  <si>
    <t>APS-18CH/IDU</t>
  </si>
  <si>
    <t>APS-18CH/ODU</t>
  </si>
  <si>
    <t>APS-24CH/IDU</t>
  </si>
  <si>
    <t>APS-24CH/ODU</t>
  </si>
  <si>
    <t>7,40 / 9,9</t>
  </si>
  <si>
    <t>26/33/39</t>
  </si>
  <si>
    <t>7,60 / 10,1</t>
  </si>
  <si>
    <t>23,7 / 25,4</t>
  </si>
  <si>
    <t>26/33/38</t>
  </si>
  <si>
    <t>8,1 / 10,7</t>
  </si>
  <si>
    <t>25,6 / 27,4</t>
  </si>
  <si>
    <t>32/35/39,5</t>
  </si>
  <si>
    <t>57,0</t>
  </si>
  <si>
    <t>34,5 / 37,0</t>
  </si>
  <si>
    <t>33/41/46,5</t>
  </si>
  <si>
    <t>13,7 / 17,5</t>
  </si>
  <si>
    <t>47,9 / 50,9</t>
  </si>
  <si>
    <t>ВАША СКИДКА</t>
  </si>
  <si>
    <t>НС-1478144</t>
  </si>
  <si>
    <t>НС-1478146</t>
  </si>
  <si>
    <t>НС-1478148</t>
  </si>
  <si>
    <t>НС-1478149</t>
  </si>
  <si>
    <t>НС-1478151</t>
  </si>
  <si>
    <t>НС-1478071</t>
  </si>
  <si>
    <t>НС-1478073</t>
  </si>
  <si>
    <t>НС-1478074</t>
  </si>
  <si>
    <t>НС-1478075</t>
  </si>
  <si>
    <t>НС-1478076</t>
  </si>
  <si>
    <t>НС-1478077</t>
  </si>
  <si>
    <t>НС-1478079</t>
  </si>
  <si>
    <t>НС-1478080</t>
  </si>
  <si>
    <t>НС-1478083</t>
  </si>
  <si>
    <t>НС-1478087</t>
  </si>
  <si>
    <t xml:space="preserve">
</t>
  </si>
  <si>
    <t>APFI-07CH/IDU</t>
  </si>
  <si>
    <t>APFI-07CH/ODU</t>
  </si>
  <si>
    <t>APFI-09CH/IDU</t>
  </si>
  <si>
    <t>APFI-09CH/ODU</t>
  </si>
  <si>
    <t>APFI-12CH/IDU</t>
  </si>
  <si>
    <t>APFI-12CH/ODU</t>
  </si>
  <si>
    <t>APFI-07CH</t>
  </si>
  <si>
    <t>APFI-09CH</t>
  </si>
  <si>
    <t>APFI-12CH</t>
  </si>
  <si>
    <t>2,25(1,17-2,95)</t>
  </si>
  <si>
    <t>2,45(0,90-2,99)</t>
  </si>
  <si>
    <t>2,80(1,17-3,05)</t>
  </si>
  <si>
    <t>2,96(0,90-3,10)</t>
  </si>
  <si>
    <t>3,55(1,29-3,78)</t>
  </si>
  <si>
    <t>3,66(1,06-4,05)</t>
  </si>
  <si>
    <t>22/24,5/30,5/35</t>
  </si>
  <si>
    <t>23,5/26,5/33,5/37,5</t>
  </si>
  <si>
    <t>780х360х285</t>
  </si>
  <si>
    <t>668х469х252</t>
  </si>
  <si>
    <t>765х525х270</t>
  </si>
  <si>
    <t>7,6/10,1</t>
  </si>
  <si>
    <t>18,0/19,6</t>
  </si>
  <si>
    <t>7,5/10,0</t>
  </si>
  <si>
    <t>21,4/23,2</t>
  </si>
  <si>
    <t>НС-1601254</t>
  </si>
  <si>
    <t>НС-1601255</t>
  </si>
  <si>
    <t>НС-1601253</t>
  </si>
  <si>
    <t>LA-WF-MD30</t>
  </si>
  <si>
    <t xml:space="preserve">НС-1606881 </t>
  </si>
  <si>
    <t>НС-1601215</t>
  </si>
  <si>
    <t>НС-1601216</t>
  </si>
  <si>
    <t>НС-1601217</t>
  </si>
  <si>
    <t>НС-1601218</t>
  </si>
  <si>
    <t>НС-1601219</t>
  </si>
  <si>
    <t>НС-1601220</t>
  </si>
  <si>
    <t>НС-1689352</t>
  </si>
  <si>
    <t>APU-07CH</t>
  </si>
  <si>
    <t>НС-1689329</t>
  </si>
  <si>
    <t>APU-07CH/IDU</t>
  </si>
  <si>
    <t>НС-1689330</t>
  </si>
  <si>
    <t>APU-07CH/ODU</t>
  </si>
  <si>
    <t>НС-1689354</t>
  </si>
  <si>
    <t>НС-1689331</t>
  </si>
  <si>
    <t>НС-1689332</t>
  </si>
  <si>
    <t>APU-09CH/ODU</t>
  </si>
  <si>
    <t>APU-09CH/IDU</t>
  </si>
  <si>
    <t>APU-09CH</t>
  </si>
  <si>
    <t>24/32/35/37</t>
  </si>
  <si>
    <t>A/A</t>
  </si>
  <si>
    <t>715×285×194</t>
  </si>
  <si>
    <t>668×469×252</t>
  </si>
  <si>
    <t>780×365×270</t>
  </si>
  <si>
    <t>765×525×270</t>
  </si>
  <si>
    <t>7,4/9,6</t>
  </si>
  <si>
    <t>22,7/24,3</t>
  </si>
  <si>
    <t>24/32/36/38</t>
  </si>
  <si>
    <t>720×495×270</t>
  </si>
  <si>
    <t>835×540×300</t>
  </si>
  <si>
    <t>24,7/26,6</t>
  </si>
  <si>
    <t>WI-FI МОДУЛЬ</t>
  </si>
  <si>
    <t>ЖЦ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</si>
</sst>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_-* #,##0.00\ _₽_-;\-* #,##0.00\ _₽_-;_-* &quot;-&quot;??\ _₽_-;_-@_-"/>
    <numFmt numFmtId="165" formatCode="0.0"/>
    <numFmt numFmtId="166" formatCode="#,##0_р_."/>
    <numFmt numFmtId="167" formatCode="[$-409]mmm/yy;@"/>
    <numFmt numFmtId="168" formatCode="[$-804]aaaa;@"/>
    <numFmt numFmtId="169" formatCode="[$-409]mmmm/yy;@"/>
    <numFmt numFmtId="170" formatCode="0.0%"/>
    <numFmt numFmtId="171" formatCode="_-* #,##0_р_._-;\-* #,##0_р_._-;_-* &quot;-&quot;_р_._-;_-@_-"/>
    <numFmt numFmtId="172" formatCode="_-* #,##0.00_р_._-;\-* #,##0.00_р_._-;_-* &quot;-&quot;??_р_._-;_-@_-"/>
    <numFmt numFmtId="173" formatCode="0_ "/>
    <numFmt numFmtId="174" formatCode="#,##0\ [$USD]"/>
    <numFmt numFmtId="175" formatCode="yyyy&quot;年&quot;m&quot;月&quot;d&quot;日&quot;;@"/>
    <numFmt numFmtId="176" formatCode="_ * #,##0.00_ ;_ * \-#,##0.00_ ;_ * &quot;-&quot;??_ ;_ @_ 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name val="Arial"/>
      <family val="2"/>
      <charset val="204"/>
    </font>
    <font>
      <b/>
      <sz val="12"/>
      <name val="FuturaC"/>
      <charset val="204"/>
    </font>
    <font>
      <sz val="12"/>
      <name val="FuturaC"/>
      <charset val="204"/>
    </font>
    <font>
      <b/>
      <sz val="12"/>
      <color theme="1" tint="0.14999847407452621"/>
      <name val="FuturaC"/>
      <charset val="204"/>
    </font>
    <font>
      <sz val="22"/>
      <color theme="0"/>
      <name val="FuturaC"/>
      <charset val="204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3"/>
      <charset val="134"/>
      <scheme val="minor"/>
    </font>
    <font>
      <sz val="12"/>
      <name val="宋体"/>
      <charset val="134"/>
    </font>
    <font>
      <sz val="12"/>
      <name val="宋体"/>
      <family val="3"/>
      <charset val="134"/>
    </font>
    <font>
      <sz val="11"/>
      <color theme="1"/>
      <name val="Calibri"/>
      <family val="2"/>
      <charset val="134"/>
      <scheme val="minor"/>
    </font>
    <font>
      <b/>
      <sz val="28"/>
      <color rgb="FF0060A8"/>
      <name val="Century Gothic"/>
      <family val="2"/>
      <charset val="204"/>
    </font>
    <font>
      <u/>
      <sz val="11"/>
      <color theme="10"/>
      <name val="Calibri"/>
      <family val="2"/>
      <scheme val="minor"/>
    </font>
    <font>
      <sz val="8"/>
      <name val="Arial"/>
      <family val="2"/>
    </font>
    <font>
      <sz val="10"/>
      <name val="Helv"/>
      <family val="2"/>
    </font>
    <font>
      <sz val="11"/>
      <color indexed="8"/>
      <name val="宋体"/>
      <charset val="134"/>
    </font>
    <font>
      <sz val="11"/>
      <color indexed="8"/>
      <name val="宋体"/>
      <family val="3"/>
      <charset val="134"/>
    </font>
    <font>
      <sz val="12"/>
      <name val="新細明體"/>
      <family val="1"/>
      <charset val="136"/>
    </font>
    <font>
      <sz val="10"/>
      <name val="Helv"/>
      <charset val="204"/>
    </font>
    <font>
      <sz val="12"/>
      <name val="Times New Roman"/>
      <family val="1"/>
    </font>
    <font>
      <sz val="11"/>
      <name val="ＭＳ Ｐゴシック"/>
      <family val="3"/>
      <charset val="128"/>
    </font>
    <font>
      <u/>
      <sz val="10"/>
      <color indexed="12"/>
      <name val="Arial"/>
      <family val="2"/>
    </font>
    <font>
      <sz val="10"/>
      <color rgb="FF9C0006"/>
      <name val="Lucida Sans Unicode"/>
      <family val="2"/>
    </font>
    <font>
      <sz val="11"/>
      <color theme="1"/>
      <name val="Stem Text"/>
      <family val="2"/>
    </font>
    <font>
      <b/>
      <sz val="18"/>
      <color rgb="FF0070C0"/>
      <name val="Stem Text"/>
      <family val="2"/>
    </font>
    <font>
      <b/>
      <sz val="16"/>
      <color rgb="FF0070C0"/>
      <name val="Stem Text"/>
      <family val="2"/>
    </font>
    <font>
      <b/>
      <sz val="11"/>
      <color theme="0"/>
      <name val="Calibri"/>
      <family val="2"/>
      <charset val="204"/>
      <scheme val="minor"/>
    </font>
    <font>
      <b/>
      <sz val="12"/>
      <color theme="1" tint="0.14999847407452621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sz val="12"/>
      <color theme="1" tint="0.14999847407452621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indexed="8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charset val="204"/>
      <scheme val="minor"/>
    </font>
    <font>
      <b/>
      <sz val="9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60A8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48484"/>
        <bgColor indexed="64"/>
      </patternFill>
    </fill>
    <fill>
      <patternFill patternType="solid">
        <fgColor rgb="FFFFC7CE"/>
      </patternFill>
    </fill>
  </fills>
  <borders count="52">
    <border>
      <left/>
      <right/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theme="1" tint="0.34998626667073579"/>
      </left>
      <right style="thin">
        <color theme="1" tint="0.34998626667073579"/>
      </right>
      <top style="medium">
        <color indexed="64"/>
      </top>
      <bottom style="thin">
        <color theme="1" tint="0.34998626667073579"/>
      </bottom>
      <diagonal/>
    </border>
    <border>
      <left style="thin">
        <color theme="1" tint="0.34998626667073579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theme="1" tint="0.34998626667073579"/>
      </right>
      <top style="medium">
        <color indexed="64"/>
      </top>
      <bottom style="thin">
        <color theme="1" tint="0.34998626667073579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 tint="0.34998626667073579"/>
      </left>
      <right style="medium">
        <color indexed="64"/>
      </right>
      <top style="thin">
        <color theme="1" tint="0.34998626667073579"/>
      </top>
      <bottom/>
      <diagonal/>
    </border>
    <border>
      <left style="thin">
        <color theme="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theme="1" tint="0.34998626667073579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34998626667073579"/>
      </left>
      <right style="thin">
        <color indexed="64"/>
      </right>
      <top style="medium">
        <color indexed="64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indexed="64"/>
      </right>
      <top style="thin">
        <color theme="1" tint="0.34998626667073579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72">
    <xf numFmtId="0" fontId="0" fillId="0" borderId="0"/>
    <xf numFmtId="0" fontId="4" fillId="0" borderId="0"/>
    <xf numFmtId="0" fontId="5" fillId="0" borderId="0"/>
    <xf numFmtId="0" fontId="4" fillId="0" borderId="0"/>
    <xf numFmtId="0" fontId="10" fillId="0" borderId="0"/>
    <xf numFmtId="167" fontId="3" fillId="0" borderId="0">
      <alignment vertical="center"/>
    </xf>
    <xf numFmtId="0" fontId="11" fillId="0" borderId="0"/>
    <xf numFmtId="0" fontId="12" fillId="0" borderId="0">
      <alignment vertical="center"/>
    </xf>
    <xf numFmtId="167" fontId="3" fillId="0" borderId="0">
      <alignment vertical="center"/>
    </xf>
    <xf numFmtId="168" fontId="13" fillId="0" borderId="0"/>
    <xf numFmtId="168" fontId="3" fillId="0" borderId="0">
      <alignment vertical="center"/>
    </xf>
    <xf numFmtId="168" fontId="14" fillId="0" borderId="0"/>
    <xf numFmtId="169" fontId="15" fillId="0" borderId="0">
      <alignment vertical="center"/>
    </xf>
    <xf numFmtId="169" fontId="15" fillId="0" borderId="0">
      <alignment vertical="center"/>
    </xf>
    <xf numFmtId="0" fontId="15" fillId="0" borderId="0">
      <alignment vertical="center"/>
    </xf>
    <xf numFmtId="0" fontId="17" fillId="0" borderId="0" applyNumberFormat="0" applyFill="0" applyBorder="0" applyAlignment="0" applyProtection="0"/>
    <xf numFmtId="0" fontId="18" fillId="0" borderId="0"/>
    <xf numFmtId="9" fontId="10" fillId="0" borderId="0" applyFont="0" applyFill="0" applyBorder="0" applyAlignment="0" applyProtection="0"/>
    <xf numFmtId="0" fontId="2" fillId="0" borderId="0"/>
    <xf numFmtId="0" fontId="11" fillId="0" borderId="0"/>
    <xf numFmtId="0" fontId="19" fillId="0" borderId="0" applyNumberFormat="0" applyBorder="0" applyAlignment="0" applyProtection="0">
      <alignment vertical="center"/>
    </xf>
    <xf numFmtId="0" fontId="19" fillId="0" borderId="0" applyNumberFormat="0" applyBorder="0" applyAlignment="0" applyProtection="0">
      <alignment vertical="center"/>
    </xf>
    <xf numFmtId="0" fontId="19" fillId="0" borderId="0" applyNumberFormat="0" applyBorder="0" applyAlignment="0" applyProtection="0">
      <alignment vertical="center"/>
    </xf>
    <xf numFmtId="0" fontId="19" fillId="0" borderId="0" applyNumberFormat="0" applyBorder="0" applyAlignment="0" applyProtection="0">
      <alignment vertical="center"/>
    </xf>
    <xf numFmtId="0" fontId="19" fillId="0" borderId="0"/>
    <xf numFmtId="0" fontId="13" fillId="0" borderId="0"/>
    <xf numFmtId="0" fontId="22" fillId="0" borderId="0"/>
    <xf numFmtId="0" fontId="13" fillId="0" borderId="0"/>
    <xf numFmtId="0" fontId="19" fillId="0" borderId="0" applyNumberFormat="0" applyBorder="0" applyAlignment="0" applyProtection="0">
      <alignment vertical="center"/>
    </xf>
    <xf numFmtId="176" fontId="11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0" fontId="11" fillId="0" borderId="0"/>
    <xf numFmtId="0" fontId="11" fillId="0" borderId="0"/>
    <xf numFmtId="0" fontId="11" fillId="0" borderId="0"/>
    <xf numFmtId="0" fontId="13" fillId="0" borderId="0"/>
    <xf numFmtId="0" fontId="5" fillId="0" borderId="0"/>
    <xf numFmtId="0" fontId="27" fillId="9" borderId="0" applyNumberFormat="0" applyBorder="0" applyAlignment="0" applyProtection="0"/>
    <xf numFmtId="0" fontId="1" fillId="0" borderId="0"/>
    <xf numFmtId="174" fontId="15" fillId="0" borderId="0">
      <alignment vertical="center"/>
    </xf>
    <xf numFmtId="0" fontId="10" fillId="0" borderId="0"/>
    <xf numFmtId="0" fontId="4" fillId="0" borderId="0"/>
    <xf numFmtId="0" fontId="10" fillId="0" borderId="0"/>
    <xf numFmtId="0" fontId="19" fillId="0" borderId="0"/>
    <xf numFmtId="0" fontId="5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4" fillId="0" borderId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3" fillId="0" borderId="0"/>
    <xf numFmtId="171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3" fillId="0" borderId="0" applyNumberFormat="0" applyBorder="0" applyAlignment="0" applyProtection="0">
      <alignment vertical="center"/>
    </xf>
    <xf numFmtId="175" fontId="14" fillId="0" borderId="0">
      <alignment vertical="center"/>
    </xf>
    <xf numFmtId="0" fontId="20" fillId="0" borderId="0"/>
    <xf numFmtId="174" fontId="12" fillId="0" borderId="0">
      <alignment vertical="center"/>
    </xf>
    <xf numFmtId="174" fontId="12" fillId="0" borderId="0">
      <alignment vertical="center"/>
    </xf>
    <xf numFmtId="0" fontId="21" fillId="0" borderId="0">
      <alignment vertical="center"/>
    </xf>
    <xf numFmtId="0" fontId="24" fillId="0" borderId="0"/>
    <xf numFmtId="174" fontId="21" fillId="0" borderId="0">
      <alignment vertical="center"/>
    </xf>
    <xf numFmtId="173" fontId="13" fillId="0" borderId="0"/>
    <xf numFmtId="0" fontId="14" fillId="0" borderId="0">
      <alignment vertical="top"/>
    </xf>
    <xf numFmtId="0" fontId="13" fillId="0" borderId="0"/>
    <xf numFmtId="0" fontId="25" fillId="0" borderId="0"/>
  </cellStyleXfs>
  <cellXfs count="168">
    <xf numFmtId="0" fontId="0" fillId="0" borderId="0" xfId="0"/>
    <xf numFmtId="0" fontId="0" fillId="8" borderId="0" xfId="0" applyFill="1"/>
    <xf numFmtId="0" fontId="0" fillId="8" borderId="0" xfId="0" quotePrefix="1" applyFill="1"/>
    <xf numFmtId="0" fontId="17" fillId="8" borderId="0" xfId="15" applyFill="1" applyBorder="1"/>
    <xf numFmtId="0" fontId="0" fillId="8" borderId="9" xfId="0" applyFill="1" applyBorder="1"/>
    <xf numFmtId="0" fontId="0" fillId="8" borderId="13" xfId="0" applyFill="1" applyBorder="1"/>
    <xf numFmtId="0" fontId="0" fillId="8" borderId="15" xfId="0" applyFill="1" applyBorder="1"/>
    <xf numFmtId="0" fontId="0" fillId="8" borderId="7" xfId="0" applyFill="1" applyBorder="1"/>
    <xf numFmtId="0" fontId="0" fillId="8" borderId="12" xfId="0" applyFill="1" applyBorder="1"/>
    <xf numFmtId="0" fontId="0" fillId="0" borderId="16" xfId="0" applyBorder="1"/>
    <xf numFmtId="0" fontId="0" fillId="0" borderId="19" xfId="0" applyBorder="1"/>
    <xf numFmtId="0" fontId="0" fillId="0" borderId="0" xfId="0" applyAlignment="1">
      <alignment horizontal="center" vertical="center"/>
    </xf>
    <xf numFmtId="3" fontId="0" fillId="0" borderId="0" xfId="0" applyNumberFormat="1"/>
    <xf numFmtId="3" fontId="0" fillId="8" borderId="0" xfId="0" applyNumberFormat="1" applyFill="1"/>
    <xf numFmtId="3" fontId="0" fillId="8" borderId="7" xfId="0" applyNumberFormat="1" applyFill="1" applyBorder="1"/>
    <xf numFmtId="0" fontId="0" fillId="0" borderId="19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9" fillId="4" borderId="4" xfId="1" applyFont="1" applyFill="1" applyBorder="1" applyAlignment="1">
      <alignment horizontal="left" vertical="center"/>
    </xf>
    <xf numFmtId="0" fontId="9" fillId="4" borderId="3" xfId="1" applyFont="1" applyFill="1" applyBorder="1" applyAlignment="1">
      <alignment horizontal="left" vertical="center"/>
    </xf>
    <xf numFmtId="0" fontId="28" fillId="4" borderId="0" xfId="0" applyFont="1" applyFill="1"/>
    <xf numFmtId="3" fontId="28" fillId="4" borderId="0" xfId="0" applyNumberFormat="1" applyFont="1" applyFill="1"/>
    <xf numFmtId="0" fontId="28" fillId="2" borderId="14" xfId="0" applyFont="1" applyFill="1" applyBorder="1"/>
    <xf numFmtId="0" fontId="28" fillId="2" borderId="8" xfId="0" applyFont="1" applyFill="1" applyBorder="1"/>
    <xf numFmtId="0" fontId="29" fillId="2" borderId="8" xfId="1" applyFont="1" applyFill="1" applyBorder="1" applyAlignment="1">
      <alignment vertical="center"/>
    </xf>
    <xf numFmtId="3" fontId="29" fillId="2" borderId="8" xfId="1" applyNumberFormat="1" applyFont="1" applyFill="1" applyBorder="1" applyAlignment="1">
      <alignment vertical="center"/>
    </xf>
    <xf numFmtId="0" fontId="30" fillId="2" borderId="8" xfId="1" applyFont="1" applyFill="1" applyBorder="1" applyAlignment="1">
      <alignment horizontal="left" vertical="center"/>
    </xf>
    <xf numFmtId="0" fontId="30" fillId="2" borderId="11" xfId="1" applyFont="1" applyFill="1" applyBorder="1" applyAlignment="1">
      <alignment horizontal="left" vertical="center"/>
    </xf>
    <xf numFmtId="0" fontId="28" fillId="2" borderId="9" xfId="0" applyFont="1" applyFill="1" applyBorder="1"/>
    <xf numFmtId="0" fontId="28" fillId="2" borderId="0" xfId="0" applyFont="1" applyFill="1"/>
    <xf numFmtId="0" fontId="29" fillId="2" borderId="0" xfId="1" applyFont="1" applyFill="1" applyAlignment="1">
      <alignment vertical="center"/>
    </xf>
    <xf numFmtId="0" fontId="29" fillId="2" borderId="0" xfId="1" applyFont="1" applyFill="1" applyAlignment="1">
      <alignment horizontal="left" vertical="center" indent="2"/>
    </xf>
    <xf numFmtId="3" fontId="28" fillId="2" borderId="0" xfId="0" applyNumberFormat="1" applyFont="1" applyFill="1"/>
    <xf numFmtId="170" fontId="30" fillId="2" borderId="0" xfId="17" applyNumberFormat="1" applyFont="1" applyFill="1" applyBorder="1" applyAlignment="1">
      <alignment horizontal="right" vertical="center"/>
    </xf>
    <xf numFmtId="0" fontId="30" fillId="2" borderId="0" xfId="1" applyFont="1" applyFill="1" applyAlignment="1">
      <alignment horizontal="left" vertical="center"/>
    </xf>
    <xf numFmtId="170" fontId="30" fillId="2" borderId="13" xfId="17" applyNumberFormat="1" applyFont="1" applyFill="1" applyBorder="1" applyAlignment="1">
      <alignment horizontal="right" vertical="center"/>
    </xf>
    <xf numFmtId="0" fontId="9" fillId="2" borderId="2" xfId="1" applyFont="1" applyFill="1" applyBorder="1" applyAlignment="1">
      <alignment vertical="center"/>
    </xf>
    <xf numFmtId="0" fontId="9" fillId="2" borderId="3" xfId="1" applyFont="1" applyFill="1" applyBorder="1" applyAlignment="1">
      <alignment vertical="center"/>
    </xf>
    <xf numFmtId="0" fontId="9" fillId="2" borderId="4" xfId="1" applyFont="1" applyFill="1" applyBorder="1" applyAlignment="1">
      <alignment vertical="center"/>
    </xf>
    <xf numFmtId="0" fontId="9" fillId="2" borderId="3" xfId="1" applyFont="1" applyFill="1" applyBorder="1" applyAlignment="1">
      <alignment horizontal="left" vertical="center" indent="2"/>
    </xf>
    <xf numFmtId="3" fontId="9" fillId="2" borderId="3" xfId="1" applyNumberFormat="1" applyFont="1" applyFill="1" applyBorder="1" applyAlignment="1">
      <alignment horizontal="left" vertical="center" indent="2"/>
    </xf>
    <xf numFmtId="0" fontId="9" fillId="2" borderId="4" xfId="1" applyFont="1" applyFill="1" applyBorder="1" applyAlignment="1">
      <alignment horizontal="left" vertical="center" indent="2"/>
    </xf>
    <xf numFmtId="166" fontId="6" fillId="4" borderId="36" xfId="1" applyNumberFormat="1" applyFont="1" applyFill="1" applyBorder="1" applyAlignment="1">
      <alignment horizontal="center" vertical="center"/>
    </xf>
    <xf numFmtId="166" fontId="6" fillId="4" borderId="37" xfId="1" applyNumberFormat="1" applyFont="1" applyFill="1" applyBorder="1" applyAlignment="1">
      <alignment horizontal="center" vertical="center"/>
    </xf>
    <xf numFmtId="3" fontId="8" fillId="0" borderId="22" xfId="1" applyNumberFormat="1" applyFont="1" applyBorder="1" applyAlignment="1">
      <alignment horizontal="center" vertical="center" readingOrder="1"/>
    </xf>
    <xf numFmtId="165" fontId="33" fillId="0" borderId="10" xfId="0" applyNumberFormat="1" applyFont="1" applyBorder="1" applyAlignment="1">
      <alignment horizontal="center" vertical="center"/>
    </xf>
    <xf numFmtId="3" fontId="34" fillId="0" borderId="10" xfId="1" applyNumberFormat="1" applyFont="1" applyBorder="1" applyAlignment="1">
      <alignment horizontal="center" vertical="center" readingOrder="1"/>
    </xf>
    <xf numFmtId="165" fontId="33" fillId="3" borderId="10" xfId="0" applyNumberFormat="1" applyFont="1" applyFill="1" applyBorder="1" applyAlignment="1">
      <alignment horizontal="center" vertical="center"/>
    </xf>
    <xf numFmtId="3" fontId="34" fillId="3" borderId="10" xfId="1" applyNumberFormat="1" applyFont="1" applyFill="1" applyBorder="1" applyAlignment="1">
      <alignment horizontal="center" vertical="center" readingOrder="1"/>
    </xf>
    <xf numFmtId="165" fontId="33" fillId="0" borderId="20" xfId="0" applyNumberFormat="1" applyFont="1" applyBorder="1" applyAlignment="1">
      <alignment horizontal="center" vertical="center"/>
    </xf>
    <xf numFmtId="3" fontId="34" fillId="0" borderId="20" xfId="1" applyNumberFormat="1" applyFont="1" applyBorder="1" applyAlignment="1">
      <alignment horizontal="center" vertical="center" readingOrder="1"/>
    </xf>
    <xf numFmtId="0" fontId="37" fillId="6" borderId="33" xfId="16" applyFont="1" applyFill="1" applyBorder="1" applyAlignment="1">
      <alignment horizontal="left" vertical="top"/>
    </xf>
    <xf numFmtId="0" fontId="33" fillId="0" borderId="10" xfId="0" applyFont="1" applyBorder="1" applyAlignment="1">
      <alignment horizontal="center" vertical="center" wrapText="1"/>
    </xf>
    <xf numFmtId="0" fontId="33" fillId="0" borderId="10" xfId="0" applyFont="1" applyBorder="1" applyAlignment="1">
      <alignment horizontal="center"/>
    </xf>
    <xf numFmtId="0" fontId="37" fillId="5" borderId="33" xfId="16" applyFont="1" applyFill="1" applyBorder="1" applyAlignment="1">
      <alignment horizontal="left" vertical="top"/>
    </xf>
    <xf numFmtId="0" fontId="33" fillId="3" borderId="10" xfId="0" applyFont="1" applyFill="1" applyBorder="1" applyAlignment="1">
      <alignment horizontal="center" vertical="center" wrapText="1"/>
    </xf>
    <xf numFmtId="0" fontId="33" fillId="3" borderId="10" xfId="0" applyFont="1" applyFill="1" applyBorder="1" applyAlignment="1">
      <alignment horizontal="center"/>
    </xf>
    <xf numFmtId="0" fontId="37" fillId="6" borderId="34" xfId="16" applyFont="1" applyFill="1" applyBorder="1" applyAlignment="1">
      <alignment horizontal="left" vertical="top"/>
    </xf>
    <xf numFmtId="0" fontId="33" fillId="0" borderId="20" xfId="0" applyFont="1" applyBorder="1" applyAlignment="1">
      <alignment horizontal="center" vertical="center" wrapText="1"/>
    </xf>
    <xf numFmtId="0" fontId="33" fillId="0" borderId="20" xfId="0" applyFont="1" applyBorder="1" applyAlignment="1">
      <alignment horizontal="center"/>
    </xf>
    <xf numFmtId="3" fontId="40" fillId="2" borderId="41" xfId="0" applyNumberFormat="1" applyFont="1" applyFill="1" applyBorder="1" applyAlignment="1">
      <alignment horizontal="center" vertical="center" wrapText="1"/>
    </xf>
    <xf numFmtId="3" fontId="40" fillId="2" borderId="32" xfId="0" applyNumberFormat="1" applyFont="1" applyFill="1" applyBorder="1" applyAlignment="1">
      <alignment horizontal="center" vertical="center" wrapText="1"/>
    </xf>
    <xf numFmtId="2" fontId="40" fillId="2" borderId="17" xfId="0" applyNumberFormat="1" applyFont="1" applyFill="1" applyBorder="1" applyAlignment="1">
      <alignment horizontal="center" vertical="center" wrapText="1"/>
    </xf>
    <xf numFmtId="165" fontId="40" fillId="2" borderId="17" xfId="0" applyNumberFormat="1" applyFont="1" applyFill="1" applyBorder="1" applyAlignment="1">
      <alignment horizontal="center" vertical="center" wrapText="1"/>
    </xf>
    <xf numFmtId="165" fontId="40" fillId="7" borderId="18" xfId="0" applyNumberFormat="1" applyFont="1" applyFill="1" applyBorder="1" applyAlignment="1">
      <alignment horizontal="center" vertical="center" wrapText="1"/>
    </xf>
    <xf numFmtId="165" fontId="40" fillId="2" borderId="6" xfId="0" applyNumberFormat="1" applyFont="1" applyFill="1" applyBorder="1" applyAlignment="1">
      <alignment horizontal="center" vertical="center"/>
    </xf>
    <xf numFmtId="165" fontId="40" fillId="2" borderId="1" xfId="0" applyNumberFormat="1" applyFont="1" applyFill="1" applyBorder="1" applyAlignment="1">
      <alignment horizontal="center" vertical="center"/>
    </xf>
    <xf numFmtId="165" fontId="40" fillId="2" borderId="1" xfId="0" applyNumberFormat="1" applyFont="1" applyFill="1" applyBorder="1" applyAlignment="1">
      <alignment horizontal="center" vertical="center" wrapText="1"/>
    </xf>
    <xf numFmtId="3" fontId="40" fillId="2" borderId="42" xfId="0" applyNumberFormat="1" applyFont="1" applyFill="1" applyBorder="1" applyAlignment="1">
      <alignment horizontal="center" vertical="center" wrapText="1"/>
    </xf>
    <xf numFmtId="3" fontId="40" fillId="2" borderId="10" xfId="0" applyNumberFormat="1" applyFont="1" applyFill="1" applyBorder="1" applyAlignment="1">
      <alignment horizontal="center" vertical="center" wrapText="1"/>
    </xf>
    <xf numFmtId="2" fontId="40" fillId="2" borderId="6" xfId="0" applyNumberFormat="1" applyFont="1" applyFill="1" applyBorder="1" applyAlignment="1">
      <alignment horizontal="center" vertical="center" wrapText="1" shrinkToFit="1"/>
    </xf>
    <xf numFmtId="2" fontId="40" fillId="2" borderId="1" xfId="0" applyNumberFormat="1" applyFont="1" applyFill="1" applyBorder="1" applyAlignment="1">
      <alignment horizontal="center" vertical="center" wrapText="1" shrinkToFit="1"/>
    </xf>
    <xf numFmtId="2" fontId="40" fillId="2" borderId="29" xfId="0" applyNumberFormat="1" applyFont="1" applyFill="1" applyBorder="1" applyAlignment="1">
      <alignment horizontal="center" vertical="center" wrapText="1" shrinkToFit="1"/>
    </xf>
    <xf numFmtId="0" fontId="34" fillId="0" borderId="5" xfId="1" applyFont="1" applyBorder="1" applyAlignment="1">
      <alignment horizontal="left" vertical="center" readingOrder="1"/>
    </xf>
    <xf numFmtId="0" fontId="34" fillId="3" borderId="5" xfId="1" applyFont="1" applyFill="1" applyBorder="1" applyAlignment="1">
      <alignment horizontal="left" vertical="center" readingOrder="1"/>
    </xf>
    <xf numFmtId="0" fontId="34" fillId="0" borderId="21" xfId="1" applyFont="1" applyBorder="1" applyAlignment="1">
      <alignment horizontal="left" vertical="center" readingOrder="1"/>
    </xf>
    <xf numFmtId="0" fontId="30" fillId="2" borderId="0" xfId="1" applyFont="1" applyFill="1" applyAlignment="1">
      <alignment horizontal="center" vertical="center"/>
    </xf>
    <xf numFmtId="14" fontId="31" fillId="4" borderId="30" xfId="1" applyNumberFormat="1" applyFont="1" applyFill="1" applyBorder="1" applyAlignment="1">
      <alignment horizontal="center" vertical="center"/>
    </xf>
    <xf numFmtId="3" fontId="40" fillId="2" borderId="22" xfId="0" applyNumberFormat="1" applyFont="1" applyFill="1" applyBorder="1" applyAlignment="1">
      <alignment horizontal="center" vertical="center" wrapText="1"/>
    </xf>
    <xf numFmtId="2" fontId="40" fillId="2" borderId="22" xfId="0" applyNumberFormat="1" applyFont="1" applyFill="1" applyBorder="1" applyAlignment="1">
      <alignment horizontal="center" vertical="center" wrapText="1"/>
    </xf>
    <xf numFmtId="165" fontId="40" fillId="2" borderId="22" xfId="0" applyNumberFormat="1" applyFont="1" applyFill="1" applyBorder="1" applyAlignment="1">
      <alignment horizontal="center" vertical="center" wrapText="1"/>
    </xf>
    <xf numFmtId="165" fontId="40" fillId="7" borderId="35" xfId="0" applyNumberFormat="1" applyFont="1" applyFill="1" applyBorder="1" applyAlignment="1">
      <alignment horizontal="center" vertical="center" wrapText="1"/>
    </xf>
    <xf numFmtId="165" fontId="40" fillId="2" borderId="10" xfId="0" applyNumberFormat="1" applyFont="1" applyFill="1" applyBorder="1" applyAlignment="1">
      <alignment horizontal="center" vertical="center"/>
    </xf>
    <xf numFmtId="165" fontId="40" fillId="2" borderId="10" xfId="0" applyNumberFormat="1" applyFont="1" applyFill="1" applyBorder="1" applyAlignment="1">
      <alignment horizontal="center" vertical="center" wrapText="1"/>
    </xf>
    <xf numFmtId="2" fontId="40" fillId="2" borderId="10" xfId="0" applyNumberFormat="1" applyFont="1" applyFill="1" applyBorder="1" applyAlignment="1">
      <alignment horizontal="center" vertical="center" wrapText="1" shrinkToFit="1"/>
    </xf>
    <xf numFmtId="2" fontId="40" fillId="2" borderId="24" xfId="0" applyNumberFormat="1" applyFont="1" applyFill="1" applyBorder="1" applyAlignment="1">
      <alignment horizontal="center" vertical="center" wrapText="1" shrinkToFit="1"/>
    </xf>
    <xf numFmtId="0" fontId="37" fillId="6" borderId="33" xfId="16" applyFont="1" applyFill="1" applyBorder="1" applyAlignment="1">
      <alignment horizontal="left" vertical="center"/>
    </xf>
    <xf numFmtId="0" fontId="34" fillId="0" borderId="5" xfId="1" applyFont="1" applyBorder="1" applyAlignment="1">
      <alignment horizontal="left" vertical="center"/>
    </xf>
    <xf numFmtId="3" fontId="32" fillId="0" borderId="10" xfId="1" applyNumberFormat="1" applyFont="1" applyBorder="1" applyAlignment="1">
      <alignment horizontal="center" vertical="center" readingOrder="1"/>
    </xf>
    <xf numFmtId="0" fontId="41" fillId="0" borderId="19" xfId="0" applyFont="1" applyBorder="1" applyAlignment="1">
      <alignment horizontal="center"/>
    </xf>
    <xf numFmtId="0" fontId="36" fillId="0" borderId="45" xfId="0" applyFont="1" applyBorder="1" applyAlignment="1">
      <alignment horizontal="center" vertical="center"/>
    </xf>
    <xf numFmtId="0" fontId="36" fillId="3" borderId="10" xfId="0" applyFont="1" applyFill="1" applyBorder="1" applyAlignment="1">
      <alignment horizontal="center" vertical="center"/>
    </xf>
    <xf numFmtId="166" fontId="33" fillId="3" borderId="50" xfId="1" applyNumberFormat="1" applyFont="1" applyFill="1" applyBorder="1" applyAlignment="1">
      <alignment horizontal="center" vertical="center"/>
    </xf>
    <xf numFmtId="166" fontId="33" fillId="3" borderId="47" xfId="1" applyNumberFormat="1" applyFont="1" applyFill="1" applyBorder="1" applyAlignment="1">
      <alignment horizontal="center" vertical="center"/>
    </xf>
    <xf numFmtId="166" fontId="35" fillId="3" borderId="24" xfId="1" applyNumberFormat="1" applyFont="1" applyFill="1" applyBorder="1" applyAlignment="1">
      <alignment horizontal="center" vertical="center"/>
    </xf>
    <xf numFmtId="0" fontId="36" fillId="3" borderId="24" xfId="0" applyFont="1" applyFill="1" applyBorder="1" applyAlignment="1">
      <alignment horizontal="center" vertical="center"/>
    </xf>
    <xf numFmtId="0" fontId="36" fillId="0" borderId="10" xfId="0" applyFont="1" applyBorder="1" applyAlignment="1">
      <alignment horizontal="center" vertical="center"/>
    </xf>
    <xf numFmtId="2" fontId="33" fillId="0" borderId="10" xfId="0" applyNumberFormat="1" applyFont="1" applyBorder="1" applyAlignment="1">
      <alignment horizontal="center" vertical="center"/>
    </xf>
    <xf numFmtId="49" fontId="33" fillId="0" borderId="10" xfId="0" applyNumberFormat="1" applyFont="1" applyBorder="1" applyAlignment="1">
      <alignment horizontal="center" vertical="center"/>
    </xf>
    <xf numFmtId="166" fontId="33" fillId="0" borderId="10" xfId="1" applyNumberFormat="1" applyFont="1" applyBorder="1" applyAlignment="1">
      <alignment horizontal="center" vertical="center"/>
    </xf>
    <xf numFmtId="166" fontId="33" fillId="0" borderId="50" xfId="1" applyNumberFormat="1" applyFont="1" applyBorder="1" applyAlignment="1">
      <alignment horizontal="center" vertical="center"/>
    </xf>
    <xf numFmtId="166" fontId="33" fillId="0" borderId="51" xfId="1" applyNumberFormat="1" applyFont="1" applyBorder="1" applyAlignment="1">
      <alignment horizontal="center" vertical="center"/>
    </xf>
    <xf numFmtId="166" fontId="35" fillId="0" borderId="24" xfId="1" applyNumberFormat="1" applyFont="1" applyBorder="1" applyAlignment="1">
      <alignment horizontal="center" vertical="center"/>
    </xf>
    <xf numFmtId="0" fontId="36" fillId="0" borderId="24" xfId="0" applyFont="1" applyBorder="1" applyAlignment="1">
      <alignment horizontal="center" vertical="center"/>
    </xf>
    <xf numFmtId="2" fontId="33" fillId="3" borderId="10" xfId="0" applyNumberFormat="1" applyFont="1" applyFill="1" applyBorder="1" applyAlignment="1">
      <alignment horizontal="center" vertical="center"/>
    </xf>
    <xf numFmtId="49" fontId="33" fillId="5" borderId="10" xfId="0" applyNumberFormat="1" applyFont="1" applyFill="1" applyBorder="1" applyAlignment="1">
      <alignment horizontal="center" vertical="center"/>
    </xf>
    <xf numFmtId="166" fontId="33" fillId="3" borderId="10" xfId="1" applyNumberFormat="1" applyFont="1" applyFill="1" applyBorder="1" applyAlignment="1">
      <alignment horizontal="center" vertical="center"/>
    </xf>
    <xf numFmtId="0" fontId="9" fillId="0" borderId="3" xfId="1" applyFont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166" fontId="6" fillId="0" borderId="26" xfId="1" applyNumberFormat="1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65" fontId="40" fillId="2" borderId="22" xfId="0" applyNumberFormat="1" applyFont="1" applyFill="1" applyBorder="1" applyAlignment="1">
      <alignment horizontal="center" vertical="center" wrapText="1"/>
    </xf>
    <xf numFmtId="165" fontId="40" fillId="2" borderId="10" xfId="0" applyNumberFormat="1" applyFont="1" applyFill="1" applyBorder="1" applyAlignment="1">
      <alignment horizontal="center" vertical="center" wrapText="1"/>
    </xf>
    <xf numFmtId="166" fontId="33" fillId="7" borderId="10" xfId="1" applyNumberFormat="1" applyFont="1" applyFill="1" applyBorder="1" applyAlignment="1">
      <alignment horizontal="center" vertical="center"/>
    </xf>
    <xf numFmtId="0" fontId="36" fillId="7" borderId="10" xfId="0" applyFont="1" applyFill="1" applyBorder="1" applyAlignment="1">
      <alignment horizontal="center" vertical="center"/>
    </xf>
    <xf numFmtId="0" fontId="36" fillId="0" borderId="20" xfId="0" applyFont="1" applyBorder="1" applyAlignment="1">
      <alignment horizontal="center" vertical="center"/>
    </xf>
    <xf numFmtId="165" fontId="40" fillId="2" borderId="38" xfId="0" applyNumberFormat="1" applyFont="1" applyFill="1" applyBorder="1" applyAlignment="1">
      <alignment horizontal="center" vertical="center" wrapText="1" shrinkToFit="1"/>
    </xf>
    <xf numFmtId="165" fontId="40" fillId="2" borderId="40" xfId="0" applyNumberFormat="1" applyFont="1" applyFill="1" applyBorder="1" applyAlignment="1">
      <alignment horizontal="center" vertical="center" wrapText="1" shrinkToFit="1"/>
    </xf>
    <xf numFmtId="165" fontId="40" fillId="2" borderId="46" xfId="2" applyNumberFormat="1" applyFont="1" applyFill="1" applyBorder="1" applyAlignment="1">
      <alignment horizontal="center" vertical="center" wrapText="1"/>
    </xf>
    <xf numFmtId="165" fontId="40" fillId="2" borderId="47" xfId="2" applyNumberFormat="1" applyFont="1" applyFill="1" applyBorder="1" applyAlignment="1">
      <alignment horizontal="center" vertical="center" wrapText="1"/>
    </xf>
    <xf numFmtId="165" fontId="40" fillId="2" borderId="46" xfId="0" applyNumberFormat="1" applyFont="1" applyFill="1" applyBorder="1" applyAlignment="1">
      <alignment horizontal="center" vertical="center" wrapText="1"/>
    </xf>
    <xf numFmtId="165" fontId="40" fillId="2" borderId="47" xfId="0" applyNumberFormat="1" applyFont="1" applyFill="1" applyBorder="1" applyAlignment="1">
      <alignment horizontal="center" vertical="center" wrapText="1"/>
    </xf>
    <xf numFmtId="49" fontId="33" fillId="2" borderId="10" xfId="0" applyNumberFormat="1" applyFont="1" applyFill="1" applyBorder="1" applyAlignment="1">
      <alignment horizontal="center" vertical="center"/>
    </xf>
    <xf numFmtId="49" fontId="33" fillId="2" borderId="20" xfId="0" applyNumberFormat="1" applyFont="1" applyFill="1" applyBorder="1" applyAlignment="1">
      <alignment horizontal="center" vertical="center"/>
    </xf>
    <xf numFmtId="166" fontId="33" fillId="0" borderId="47" xfId="1" applyNumberFormat="1" applyFont="1" applyBorder="1" applyAlignment="1">
      <alignment horizontal="center" vertical="center"/>
    </xf>
    <xf numFmtId="0" fontId="39" fillId="0" borderId="22" xfId="0" applyFont="1" applyBorder="1" applyAlignment="1">
      <alignment horizontal="center" vertical="center"/>
    </xf>
    <xf numFmtId="0" fontId="39" fillId="0" borderId="10" xfId="0" applyFont="1" applyBorder="1" applyAlignment="1">
      <alignment horizontal="center" vertical="center"/>
    </xf>
    <xf numFmtId="0" fontId="40" fillId="2" borderId="22" xfId="0" applyFont="1" applyFill="1" applyBorder="1" applyAlignment="1">
      <alignment horizontal="center" vertical="center" wrapText="1" shrinkToFit="1"/>
    </xf>
    <xf numFmtId="0" fontId="40" fillId="2" borderId="10" xfId="0" applyFont="1" applyFill="1" applyBorder="1" applyAlignment="1">
      <alignment horizontal="center" vertical="center" wrapText="1" shrinkToFit="1"/>
    </xf>
    <xf numFmtId="165" fontId="40" fillId="2" borderId="22" xfId="0" applyNumberFormat="1" applyFont="1" applyFill="1" applyBorder="1" applyAlignment="1">
      <alignment horizontal="center" vertical="center" wrapText="1" shrinkToFit="1"/>
    </xf>
    <xf numFmtId="165" fontId="40" fillId="2" borderId="22" xfId="2" applyNumberFormat="1" applyFont="1" applyFill="1" applyBorder="1" applyAlignment="1">
      <alignment horizontal="center" vertical="center" wrapText="1"/>
    </xf>
    <xf numFmtId="165" fontId="40" fillId="2" borderId="10" xfId="2" applyNumberFormat="1" applyFont="1" applyFill="1" applyBorder="1" applyAlignment="1">
      <alignment horizontal="center" vertical="center" wrapText="1"/>
    </xf>
    <xf numFmtId="0" fontId="9" fillId="4" borderId="2" xfId="1" applyFont="1" applyFill="1" applyBorder="1" applyAlignment="1">
      <alignment horizontal="left" vertical="center"/>
    </xf>
    <xf numFmtId="0" fontId="9" fillId="4" borderId="3" xfId="1" applyFont="1" applyFill="1" applyBorder="1" applyAlignment="1">
      <alignment horizontal="left" vertical="center"/>
    </xf>
    <xf numFmtId="0" fontId="16" fillId="2" borderId="2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center" vertical="center"/>
    </xf>
    <xf numFmtId="0" fontId="39" fillId="0" borderId="48" xfId="0" applyFont="1" applyBorder="1" applyAlignment="1">
      <alignment horizontal="center" vertical="center"/>
    </xf>
    <xf numFmtId="0" fontId="39" fillId="0" borderId="49" xfId="0" applyFont="1" applyBorder="1" applyAlignment="1">
      <alignment horizontal="center" vertical="center"/>
    </xf>
    <xf numFmtId="0" fontId="39" fillId="0" borderId="46" xfId="0" applyFont="1" applyBorder="1" applyAlignment="1">
      <alignment horizontal="center" vertical="center"/>
    </xf>
    <xf numFmtId="0" fontId="39" fillId="0" borderId="47" xfId="0" applyFont="1" applyBorder="1" applyAlignment="1">
      <alignment horizontal="center" vertical="center"/>
    </xf>
    <xf numFmtId="0" fontId="40" fillId="2" borderId="46" xfId="0" applyFont="1" applyFill="1" applyBorder="1" applyAlignment="1">
      <alignment horizontal="center" vertical="center" wrapText="1" shrinkToFit="1"/>
    </xf>
    <xf numFmtId="0" fontId="40" fillId="2" borderId="47" xfId="0" applyFont="1" applyFill="1" applyBorder="1" applyAlignment="1">
      <alignment horizontal="center" vertical="center" wrapText="1" shrinkToFit="1"/>
    </xf>
    <xf numFmtId="165" fontId="40" fillId="2" borderId="38" xfId="0" applyNumberFormat="1" applyFont="1" applyFill="1" applyBorder="1" applyAlignment="1">
      <alignment horizontal="center" vertical="center" wrapText="1"/>
    </xf>
    <xf numFmtId="165" fontId="40" fillId="2" borderId="40" xfId="0" applyNumberFormat="1" applyFont="1" applyFill="1" applyBorder="1" applyAlignment="1">
      <alignment horizontal="center" vertical="center" wrapText="1"/>
    </xf>
    <xf numFmtId="0" fontId="39" fillId="0" borderId="31" xfId="0" applyFont="1" applyBorder="1" applyAlignment="1">
      <alignment horizontal="center" vertical="center"/>
    </xf>
    <xf numFmtId="0" fontId="39" fillId="0" borderId="33" xfId="0" applyFont="1" applyBorder="1" applyAlignment="1">
      <alignment horizontal="center" vertical="center"/>
    </xf>
    <xf numFmtId="0" fontId="9" fillId="0" borderId="2" xfId="1" applyFont="1" applyBorder="1" applyAlignment="1">
      <alignment horizontal="left" vertical="center"/>
    </xf>
    <xf numFmtId="0" fontId="36" fillId="0" borderId="25" xfId="0" applyFont="1" applyBorder="1" applyAlignment="1">
      <alignment horizontal="center" vertical="center"/>
    </xf>
    <xf numFmtId="2" fontId="7" fillId="3" borderId="38" xfId="0" applyNumberFormat="1" applyFont="1" applyFill="1" applyBorder="1" applyAlignment="1">
      <alignment horizontal="center" vertical="center"/>
    </xf>
    <xf numFmtId="0" fontId="0" fillId="3" borderId="39" xfId="0" applyFill="1" applyBorder="1" applyAlignment="1">
      <alignment horizontal="center" vertical="center"/>
    </xf>
    <xf numFmtId="0" fontId="0" fillId="3" borderId="40" xfId="0" applyFill="1" applyBorder="1" applyAlignment="1">
      <alignment horizontal="center" vertical="center"/>
    </xf>
    <xf numFmtId="165" fontId="40" fillId="2" borderId="17" xfId="2" applyNumberFormat="1" applyFont="1" applyFill="1" applyBorder="1" applyAlignment="1">
      <alignment horizontal="center" vertical="center" wrapText="1"/>
    </xf>
    <xf numFmtId="165" fontId="40" fillId="2" borderId="1" xfId="2" applyNumberFormat="1" applyFont="1" applyFill="1" applyBorder="1" applyAlignment="1">
      <alignment horizontal="center" vertical="center" wrapText="1"/>
    </xf>
    <xf numFmtId="165" fontId="40" fillId="2" borderId="17" xfId="0" applyNumberFormat="1" applyFont="1" applyFill="1" applyBorder="1" applyAlignment="1">
      <alignment horizontal="center" vertical="center" wrapText="1"/>
    </xf>
    <xf numFmtId="165" fontId="40" fillId="2" borderId="1" xfId="0" applyNumberFormat="1" applyFont="1" applyFill="1" applyBorder="1" applyAlignment="1">
      <alignment horizontal="center" vertical="center" wrapText="1"/>
    </xf>
    <xf numFmtId="165" fontId="40" fillId="2" borderId="43" xfId="0" applyNumberFormat="1" applyFont="1" applyFill="1" applyBorder="1" applyAlignment="1">
      <alignment horizontal="center" vertical="center" wrapText="1"/>
    </xf>
    <xf numFmtId="165" fontId="40" fillId="2" borderId="44" xfId="0" applyNumberFormat="1" applyFont="1" applyFill="1" applyBorder="1" applyAlignment="1">
      <alignment horizontal="center" vertical="center" wrapText="1"/>
    </xf>
    <xf numFmtId="0" fontId="0" fillId="0" borderId="26" xfId="0" applyBorder="1"/>
    <xf numFmtId="0" fontId="0" fillId="0" borderId="27" xfId="0" applyBorder="1"/>
    <xf numFmtId="0" fontId="0" fillId="0" borderId="28" xfId="0" applyBorder="1"/>
    <xf numFmtId="2" fontId="7" fillId="0" borderId="26" xfId="0" applyNumberFormat="1" applyFont="1" applyBorder="1" applyAlignment="1">
      <alignment horizontal="center" vertical="center"/>
    </xf>
    <xf numFmtId="0" fontId="7" fillId="0" borderId="26" xfId="0" applyFont="1" applyBorder="1" applyAlignment="1">
      <alignment horizontal="left" vertical="top" wrapText="1"/>
    </xf>
    <xf numFmtId="0" fontId="38" fillId="0" borderId="27" xfId="0" applyFont="1" applyBorder="1" applyAlignment="1">
      <alignment horizontal="left" vertical="top"/>
    </xf>
    <xf numFmtId="0" fontId="38" fillId="0" borderId="28" xfId="0" applyFont="1" applyBorder="1" applyAlignment="1">
      <alignment horizontal="left" vertical="top"/>
    </xf>
    <xf numFmtId="165" fontId="40" fillId="2" borderId="23" xfId="0" applyNumberFormat="1" applyFont="1" applyFill="1" applyBorder="1" applyAlignment="1">
      <alignment horizontal="center" vertical="center" wrapText="1" shrinkToFit="1"/>
    </xf>
    <xf numFmtId="165" fontId="40" fillId="2" borderId="17" xfId="0" applyNumberFormat="1" applyFont="1" applyFill="1" applyBorder="1" applyAlignment="1">
      <alignment horizontal="center" vertical="center" wrapText="1" shrinkToFit="1"/>
    </xf>
  </cellXfs>
  <cellStyles count="72">
    <cellStyle name="_x0007_" xfId="19" xr:uid="{00000000-0005-0000-0000-000000000000}"/>
    <cellStyle name="_ET_STYLE_NoName_00_" xfId="20" xr:uid="{00000000-0005-0000-0000-000001000000}"/>
    <cellStyle name="_ET_STYLE_NoName_00__ControlSystemSummary_2010128" xfId="21" xr:uid="{00000000-0005-0000-0000-000002000000}"/>
    <cellStyle name="_ET_STYLE_NoName_00__FCUPAHUProductsList_最新_" xfId="22" xr:uid="{00000000-0005-0000-0000-000003000000}"/>
    <cellStyle name="_ET_STYLE_NoName_00__GREE_CAC_air_cooled_Scroll_chiller_Mini_Chiller" xfId="23" xr:uid="{00000000-0005-0000-0000-000004000000}"/>
    <cellStyle name="_ET_STYLE_NoName_00__热水机" xfId="24" xr:uid="{00000000-0005-0000-0000-000005000000}"/>
    <cellStyle name="_x0007__Kentatsu_Line-up_2011_12.10.10" xfId="25" xr:uid="{00000000-0005-0000-0000-000006000000}"/>
    <cellStyle name="0,0_x000d__x000a_NA_x000d__x000a_" xfId="26" xr:uid="{00000000-0005-0000-0000-000007000000}"/>
    <cellStyle name="0,0_x000d__x000a_NA_x000d__x000a_ 2" xfId="27" xr:uid="{00000000-0005-0000-0000-000008000000}"/>
    <cellStyle name="0,0_x005f_x000d__x000a_NA_x005f_x000d__x000a_" xfId="28" xr:uid="{00000000-0005-0000-0000-000009000000}"/>
    <cellStyle name="Komma 2" xfId="29" xr:uid="{00000000-0005-0000-0000-00000A000000}"/>
    <cellStyle name="Link 2" xfId="30" xr:uid="{00000000-0005-0000-0000-00000B000000}"/>
    <cellStyle name="Normal 2" xfId="31" xr:uid="{00000000-0005-0000-0000-00000C000000}"/>
    <cellStyle name="Normal 3" xfId="32" xr:uid="{00000000-0005-0000-0000-00000D000000}"/>
    <cellStyle name="Normal 4" xfId="33" xr:uid="{00000000-0005-0000-0000-00000E000000}"/>
    <cellStyle name="Normal_MEX " xfId="34" xr:uid="{00000000-0005-0000-0000-00000F000000}"/>
    <cellStyle name="Standard_ACCESSORIES" xfId="35" xr:uid="{00000000-0005-0000-0000-000010000000}"/>
    <cellStyle name="Ugyldig 2" xfId="36" xr:uid="{00000000-0005-0000-0000-000011000000}"/>
    <cellStyle name="Гиперссылка" xfId="15" builtinId="8"/>
    <cellStyle name="Обычный" xfId="0" builtinId="0"/>
    <cellStyle name="Обычный 2" xfId="4" xr:uid="{00000000-0005-0000-0000-000014000000}"/>
    <cellStyle name="Обычный 2 2" xfId="38" xr:uid="{00000000-0005-0000-0000-000015000000}"/>
    <cellStyle name="Обычный 2 2 2" xfId="39" xr:uid="{00000000-0005-0000-0000-000016000000}"/>
    <cellStyle name="Обычный 2 3" xfId="40" xr:uid="{00000000-0005-0000-0000-000017000000}"/>
    <cellStyle name="Обычный 2 4" xfId="37" xr:uid="{00000000-0005-0000-0000-000018000000}"/>
    <cellStyle name="Обычный 3" xfId="3" xr:uid="{00000000-0005-0000-0000-000019000000}"/>
    <cellStyle name="Обычный 3 2" xfId="42" xr:uid="{00000000-0005-0000-0000-00001A000000}"/>
    <cellStyle name="Обычный 3 3" xfId="41" xr:uid="{00000000-0005-0000-0000-00001B000000}"/>
    <cellStyle name="Обычный 4" xfId="2" xr:uid="{00000000-0005-0000-0000-00001C000000}"/>
    <cellStyle name="Обычный 4 2" xfId="43" xr:uid="{00000000-0005-0000-0000-00001D000000}"/>
    <cellStyle name="Обычный 4 3" xfId="44" xr:uid="{00000000-0005-0000-0000-00001E000000}"/>
    <cellStyle name="Обычный 5" xfId="45" xr:uid="{00000000-0005-0000-0000-00001F000000}"/>
    <cellStyle name="Обычный 5 2" xfId="46" xr:uid="{00000000-0005-0000-0000-000020000000}"/>
    <cellStyle name="Обычный 6" xfId="47" xr:uid="{00000000-0005-0000-0000-000021000000}"/>
    <cellStyle name="Обычный 6 2" xfId="48" xr:uid="{00000000-0005-0000-0000-000022000000}"/>
    <cellStyle name="Обычный 7" xfId="49" xr:uid="{00000000-0005-0000-0000-000023000000}"/>
    <cellStyle name="Обычный 8" xfId="50" xr:uid="{00000000-0005-0000-0000-000024000000}"/>
    <cellStyle name="Обычный_Lessar_fancoil_27.06.08" xfId="1" xr:uid="{00000000-0005-0000-0000-000025000000}"/>
    <cellStyle name="Обычный_Бытовые сплит-системы" xfId="16" xr:uid="{00000000-0005-0000-0000-000026000000}"/>
    <cellStyle name="Процентный" xfId="17" builtinId="5"/>
    <cellStyle name="Процентный 2" xfId="51" xr:uid="{00000000-0005-0000-0000-000028000000}"/>
    <cellStyle name="Процентный 2 2" xfId="52" xr:uid="{00000000-0005-0000-0000-000029000000}"/>
    <cellStyle name="Процентный 3" xfId="53" xr:uid="{00000000-0005-0000-0000-00002A000000}"/>
    <cellStyle name="Процентный 4" xfId="54" xr:uid="{00000000-0005-0000-0000-00002B000000}"/>
    <cellStyle name="Стиль 1" xfId="55" xr:uid="{00000000-0005-0000-0000-00002C000000}"/>
    <cellStyle name="УровеньСтрок_8" xfId="18" xr:uid="{00000000-0005-0000-0000-00002D000000}"/>
    <cellStyle name="Финансовый [0] 2" xfId="56" xr:uid="{00000000-0005-0000-0000-00002E000000}"/>
    <cellStyle name="Финансовый 2" xfId="57" xr:uid="{00000000-0005-0000-0000-00002F000000}"/>
    <cellStyle name="Финансовый 3" xfId="58" xr:uid="{00000000-0005-0000-0000-000030000000}"/>
    <cellStyle name="Финансовый 4" xfId="59" xr:uid="{00000000-0005-0000-0000-000031000000}"/>
    <cellStyle name="一般_G430" xfId="60" xr:uid="{00000000-0005-0000-0000-000032000000}"/>
    <cellStyle name="常规 10 102 3" xfId="12" xr:uid="{00000000-0005-0000-0000-000033000000}"/>
    <cellStyle name="常规 12 2" xfId="61" xr:uid="{00000000-0005-0000-0000-000034000000}"/>
    <cellStyle name="常规 17" xfId="5" xr:uid="{00000000-0005-0000-0000-000035000000}"/>
    <cellStyle name="常规 2" xfId="62" xr:uid="{00000000-0005-0000-0000-000036000000}"/>
    <cellStyle name="常规 2 2" xfId="63" xr:uid="{00000000-0005-0000-0000-000037000000}"/>
    <cellStyle name="常规 2 3" xfId="64" xr:uid="{00000000-0005-0000-0000-000038000000}"/>
    <cellStyle name="常规 2 4" xfId="65" xr:uid="{00000000-0005-0000-0000-000039000000}"/>
    <cellStyle name="常规 2 5" xfId="66" xr:uid="{00000000-0005-0000-0000-00003A000000}"/>
    <cellStyle name="常规 2 54 18" xfId="6" xr:uid="{00000000-0005-0000-0000-00003B000000}"/>
    <cellStyle name="常规 2 54 18 2" xfId="7" xr:uid="{00000000-0005-0000-0000-00003C000000}"/>
    <cellStyle name="常规 2 54 18 2 2" xfId="8" xr:uid="{00000000-0005-0000-0000-00003D000000}"/>
    <cellStyle name="常规 2_当前HAPQ现有出口产品清单--开发确认121204反馈_海信日立现有出口机产品清单--121204" xfId="67" xr:uid="{00000000-0005-0000-0000-00003E000000}"/>
    <cellStyle name="常规 22 2" xfId="10" xr:uid="{00000000-0005-0000-0000-00003F000000}"/>
    <cellStyle name="常规 29" xfId="14" xr:uid="{00000000-0005-0000-0000-000040000000}"/>
    <cellStyle name="常规 29 2 16" xfId="68" xr:uid="{00000000-0005-0000-0000-000041000000}"/>
    <cellStyle name="常规 3" xfId="13" xr:uid="{00000000-0005-0000-0000-000042000000}"/>
    <cellStyle name="常规 31" xfId="9" xr:uid="{00000000-0005-0000-0000-000043000000}"/>
    <cellStyle name="常规 31 5" xfId="11" xr:uid="{00000000-0005-0000-0000-000044000000}"/>
    <cellStyle name="常规 5" xfId="69" xr:uid="{00000000-0005-0000-0000-000045000000}"/>
    <cellStyle name="常规_2008 Pricing_GMV R410a_Before August 2008_USD_2009 GREE CAC Pricing for Q4 season_Valid thru Nov 2009" xfId="70" xr:uid="{00000000-0005-0000-0000-000046000000}"/>
    <cellStyle name="標準 3" xfId="71" xr:uid="{00000000-0005-0000-0000-000047000000}"/>
  </cellStyles>
  <dxfs count="0"/>
  <tableStyles count="0" defaultTableStyle="TableStyleMedium2" defaultPivotStyle="PivotStyleLight16"/>
  <colors>
    <mruColors>
      <color rgb="FF0060A8"/>
      <color rgb="FF848484"/>
      <color rgb="FF144984"/>
      <color rgb="FF006666"/>
      <color rgb="FF008080"/>
      <color rgb="FF004620"/>
      <color rgb="FF005C2A"/>
      <color rgb="FF004821"/>
      <color rgb="FF007033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99789</xdr:colOff>
      <xdr:row>4</xdr:row>
      <xdr:rowOff>60324</xdr:rowOff>
    </xdr:from>
    <xdr:to>
      <xdr:col>17</xdr:col>
      <xdr:colOff>195035</xdr:colOff>
      <xdr:row>4</xdr:row>
      <xdr:rowOff>114300</xdr:rowOff>
    </xdr:to>
    <xdr:sp macro="" textlink="">
      <xdr:nvSpPr>
        <xdr:cNvPr id="14" name="Подзаголовок 5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>
          <a:spLocks/>
        </xdr:cNvSpPr>
      </xdr:nvSpPr>
      <xdr:spPr>
        <a:xfrm>
          <a:off x="9310464" y="2498724"/>
          <a:ext cx="4476746" cy="53976"/>
        </a:xfrm>
        <a:prstGeom prst="rect">
          <a:avLst/>
        </a:prstGeom>
      </xdr:spPr>
      <xdr:txBody>
        <a:bodyPr vert="horz" wrap="square" lIns="91440" tIns="45720" rIns="91440" bIns="45720" rtlCol="0">
          <a:normAutofit fontScale="85000" lnSpcReduction="20000"/>
        </a:bodyPr>
        <a:lstStyle>
          <a:defPPr>
            <a:defRPr lang="ru-RU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 sz="1900" b="0">
            <a:latin typeface="Century Gothic" panose="020B0502020202020204" pitchFamily="34" charset="0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="0" i="0" kern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ru-RU" sz="1800" b="0" i="0" kern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Высокий класс энергоэффективности </a:t>
          </a:r>
          <a:r>
            <a:rPr lang="en-US" sz="1800" b="0" i="0" kern="1200" baseline="0">
              <a:solidFill>
                <a:srgbClr val="0060A8"/>
              </a:solidFill>
              <a:effectLst/>
              <a:latin typeface="+mn-lt"/>
              <a:ea typeface="+mn-ea"/>
              <a:cs typeface="+mn-cs"/>
            </a:rPr>
            <a:t>A</a:t>
          </a:r>
          <a:endParaRPr lang="ru-RU" sz="1800" b="0" i="0" kern="1200" baseline="0">
            <a:solidFill>
              <a:srgbClr val="0060A8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="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ru-RU" sz="1800" b="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Готов к установке модуля </a:t>
          </a:r>
          <a:r>
            <a:rPr lang="en-US" sz="1800" b="0" kern="1200">
              <a:solidFill>
                <a:srgbClr val="0060A8"/>
              </a:solidFill>
              <a:effectLst/>
              <a:latin typeface="+mn-lt"/>
              <a:ea typeface="+mn-ea"/>
              <a:cs typeface="+mn-cs"/>
            </a:rPr>
            <a:t>Wi-Fi LA-WF-MD30</a:t>
          </a:r>
          <a:endParaRPr lang="ru-RU" b="0">
            <a:solidFill>
              <a:srgbClr val="0060A8"/>
            </a:solidFill>
            <a:effectLst/>
          </a:endParaRPr>
        </a:p>
        <a:p>
          <a:r>
            <a:rPr lang="en-US" sz="18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rPr>
            <a:t>o</a:t>
          </a:r>
          <a:r>
            <a:rPr lang="ru-RU" sz="18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sz="1800" b="0" i="0" u="none" strike="noStrike" kern="1200" baseline="0">
              <a:solidFill>
                <a:srgbClr val="0060A8"/>
              </a:solidFill>
              <a:latin typeface="+mn-lt"/>
              <a:ea typeface="+mn-ea"/>
              <a:cs typeface="+mn-cs"/>
            </a:rPr>
            <a:t>4</a:t>
          </a:r>
          <a:r>
            <a:rPr lang="ru-RU" sz="18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rPr>
            <a:t> режима работы: охлаждение, обогрев, осушение, вентиляция</a:t>
          </a:r>
        </a:p>
        <a:p>
          <a:r>
            <a:rPr lang="en-US" sz="18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rPr>
            <a:t>o</a:t>
          </a:r>
          <a:r>
            <a:rPr lang="ru-RU" sz="18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rPr>
            <a:t> Надежные компрессоры  </a:t>
          </a:r>
          <a:r>
            <a:rPr lang="en-US" sz="1800" b="0" i="0" u="none" strike="noStrike" kern="1200" baseline="0">
              <a:solidFill>
                <a:srgbClr val="0060A8"/>
              </a:solidFill>
              <a:latin typeface="+mn-lt"/>
              <a:ea typeface="+mn-ea"/>
              <a:cs typeface="+mn-cs"/>
            </a:rPr>
            <a:t>GMCC</a:t>
          </a:r>
        </a:p>
        <a:p>
          <a:r>
            <a:rPr lang="en-US" sz="18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rPr>
            <a:t>o</a:t>
          </a:r>
          <a:r>
            <a:rPr lang="ru-RU" sz="18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rPr>
            <a:t> Функция </a:t>
          </a:r>
          <a:r>
            <a:rPr lang="en-US" sz="1800" b="0" i="0" u="none" strike="noStrike" kern="1200" baseline="0">
              <a:solidFill>
                <a:srgbClr val="0060A8"/>
              </a:solidFill>
              <a:latin typeface="+mn-lt"/>
              <a:ea typeface="+mn-ea"/>
              <a:cs typeface="+mn-cs"/>
            </a:rPr>
            <a:t>Autorestart</a:t>
          </a:r>
        </a:p>
        <a:p>
          <a:r>
            <a:rPr lang="en-US" sz="18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rPr>
            <a:t>o</a:t>
          </a:r>
          <a:r>
            <a:rPr lang="ru-RU" sz="18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ru-RU" sz="1800" b="0" i="0" u="none" strike="noStrike" kern="1200" baseline="0">
              <a:solidFill>
                <a:srgbClr val="0060A8"/>
              </a:solidFill>
              <a:latin typeface="+mn-lt"/>
              <a:ea typeface="+mn-ea"/>
              <a:cs typeface="+mn-cs"/>
            </a:rPr>
            <a:t>Индикация</a:t>
          </a:r>
          <a:r>
            <a:rPr lang="ru-RU" sz="18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rPr>
            <a:t> режима работы</a:t>
          </a:r>
        </a:p>
        <a:p>
          <a:r>
            <a:rPr lang="en-US" sz="18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rPr>
            <a:t>o</a:t>
          </a:r>
          <a:r>
            <a:rPr lang="ru-RU" sz="18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rPr>
            <a:t> Таймер</a:t>
          </a:r>
        </a:p>
        <a:p>
          <a:r>
            <a:rPr lang="en-US" sz="18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rPr>
            <a:t>o</a:t>
          </a:r>
          <a:r>
            <a:rPr lang="ru-RU" sz="18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rPr>
            <a:t> Ночной режим</a:t>
          </a:r>
          <a:r>
            <a:rPr lang="en-US" sz="18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kumimoji="0" lang="en-US" sz="1800" b="0" i="0" u="none" strike="noStrike" kern="1200" cap="none" spc="0" normalizeH="0" baseline="0" noProof="0">
              <a:ln>
                <a:noFill/>
              </a:ln>
              <a:solidFill>
                <a:srgbClr val="0060A8"/>
              </a:solidFill>
              <a:effectLst/>
              <a:uLnTx/>
              <a:uFillTx/>
              <a:latin typeface="+mn-lt"/>
              <a:ea typeface="+mn-ea"/>
              <a:cs typeface="+mn-cs"/>
            </a:rPr>
            <a:t>SLEEP</a:t>
          </a:r>
          <a:endParaRPr lang="ru-RU" sz="1800" b="0" i="0" u="none" strike="noStrike" kern="1200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sz="18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rPr>
            <a:t>o</a:t>
          </a:r>
          <a:r>
            <a:rPr lang="ru-RU" sz="18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rPr>
            <a:t> Эргономичный пульт с подсветкой</a:t>
          </a:r>
          <a:endParaRPr lang="en-US" sz="1800" b="0" i="0" u="none" strike="noStrike" kern="1200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sz="18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rPr>
            <a:t>o </a:t>
          </a:r>
          <a:r>
            <a:rPr lang="ru-RU" sz="18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rPr>
            <a:t>Покрытие теплообменника </a:t>
          </a:r>
          <a:r>
            <a:rPr lang="en-US" sz="18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rPr>
            <a:t>Golden Fin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="0" i="0" kern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 </a:t>
          </a:r>
          <a:r>
            <a:rPr lang="ru-RU" sz="1800" b="0" i="0" kern="1200" baseline="0">
              <a:solidFill>
                <a:srgbClr val="0060A8"/>
              </a:solidFill>
              <a:effectLst/>
              <a:latin typeface="+mn-lt"/>
              <a:ea typeface="+mn-ea"/>
              <a:cs typeface="+mn-cs"/>
            </a:rPr>
            <a:t>Накладка на вентили </a:t>
          </a:r>
          <a:r>
            <a:rPr lang="ru-RU" sz="1800" b="0" i="0" kern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наружного блока *</a:t>
          </a:r>
          <a:endParaRPr lang="en-US" sz="1600" b="0">
            <a:solidFill>
              <a:srgbClr val="00665E"/>
            </a:solidFill>
          </a:endParaRPr>
        </a:p>
        <a:p>
          <a:endParaRPr lang="ru-RU" sz="1400"/>
        </a:p>
        <a:p>
          <a:endParaRPr lang="ru-RU" sz="1400" b="1">
            <a:solidFill>
              <a:srgbClr val="00665E"/>
            </a:solidFill>
          </a:endParaRPr>
        </a:p>
      </xdr:txBody>
    </xdr:sp>
    <xdr:clientData/>
  </xdr:twoCellAnchor>
  <xdr:oneCellAnchor>
    <xdr:from>
      <xdr:col>4</xdr:col>
      <xdr:colOff>961837</xdr:colOff>
      <xdr:row>14</xdr:row>
      <xdr:rowOff>345783</xdr:rowOff>
    </xdr:from>
    <xdr:ext cx="3259000" cy="1346305"/>
    <xdr:pic>
      <xdr:nvPicPr>
        <xdr:cNvPr id="19" name="Рисунок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5242484" y="8201107"/>
          <a:ext cx="3259000" cy="1346305"/>
        </a:xfrm>
        <a:prstGeom prst="rect">
          <a:avLst/>
        </a:prstGeom>
      </xdr:spPr>
    </xdr:pic>
    <xdr:clientData/>
  </xdr:oneCellAnchor>
  <xdr:oneCellAnchor>
    <xdr:from>
      <xdr:col>1</xdr:col>
      <xdr:colOff>456956</xdr:colOff>
      <xdr:row>27</xdr:row>
      <xdr:rowOff>99786</xdr:rowOff>
    </xdr:from>
    <xdr:ext cx="1972784" cy="532582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1476691" y="13087404"/>
          <a:ext cx="1972784" cy="53258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US" sz="2800" b="1">
              <a:solidFill>
                <a:srgbClr val="0060A8"/>
              </a:solidFill>
              <a:latin typeface="Century Gothic" panose="020B0502020202020204" pitchFamily="34" charset="0"/>
            </a:rPr>
            <a:t>APUS</a:t>
          </a:r>
          <a:r>
            <a:rPr lang="ru-RU" sz="2800" b="1">
              <a:solidFill>
                <a:srgbClr val="0060A8"/>
              </a:solidFill>
              <a:latin typeface="Century Gothic" panose="020B0502020202020204" pitchFamily="34" charset="0"/>
            </a:rPr>
            <a:t> 2024</a:t>
          </a:r>
        </a:p>
      </xdr:txBody>
    </xdr:sp>
    <xdr:clientData/>
  </xdr:oneCellAnchor>
  <xdr:oneCellAnchor>
    <xdr:from>
      <xdr:col>4</xdr:col>
      <xdr:colOff>250264</xdr:colOff>
      <xdr:row>27</xdr:row>
      <xdr:rowOff>758667</xdr:rowOff>
    </xdr:from>
    <xdr:ext cx="544286" cy="1113741"/>
    <xdr:pic>
      <xdr:nvPicPr>
        <xdr:cNvPr id="25" name="Рисунок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4530911" y="13746285"/>
          <a:ext cx="544286" cy="1113741"/>
        </a:xfrm>
        <a:prstGeom prst="rect">
          <a:avLst/>
        </a:prstGeom>
      </xdr:spPr>
    </xdr:pic>
    <xdr:clientData/>
  </xdr:oneCellAnchor>
  <xdr:twoCellAnchor>
    <xdr:from>
      <xdr:col>9</xdr:col>
      <xdr:colOff>88900</xdr:colOff>
      <xdr:row>27</xdr:row>
      <xdr:rowOff>66674</xdr:rowOff>
    </xdr:from>
    <xdr:to>
      <xdr:col>17</xdr:col>
      <xdr:colOff>320221</xdr:colOff>
      <xdr:row>27</xdr:row>
      <xdr:rowOff>2069193</xdr:rowOff>
    </xdr:to>
    <xdr:sp macro="" textlink="">
      <xdr:nvSpPr>
        <xdr:cNvPr id="26" name="Подзаголовок 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>
          <a:spLocks/>
        </xdr:cNvSpPr>
      </xdr:nvSpPr>
      <xdr:spPr>
        <a:xfrm>
          <a:off x="9299575" y="12382499"/>
          <a:ext cx="4612821" cy="2002519"/>
        </a:xfrm>
        <a:prstGeom prst="rect">
          <a:avLst/>
        </a:prstGeom>
      </xdr:spPr>
      <xdr:txBody>
        <a:bodyPr vert="horz" wrap="square" lIns="91440" tIns="45720" rIns="91440" bIns="45720" rtlCol="0">
          <a:normAutofit fontScale="85000" lnSpcReduction="20000"/>
        </a:bodyPr>
        <a:lstStyle>
          <a:defPPr>
            <a:defRPr lang="ru-RU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="0" i="0" kern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ru-RU" sz="1800" b="0" i="0" kern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Высокий класс энергоэффективности </a:t>
          </a:r>
          <a:r>
            <a:rPr lang="en-US" sz="1800" b="0" i="0" kern="1200" baseline="0">
              <a:solidFill>
                <a:srgbClr val="0060A8"/>
              </a:solidFill>
              <a:effectLst/>
              <a:latin typeface="+mn-lt"/>
              <a:ea typeface="+mn-ea"/>
              <a:cs typeface="+mn-cs"/>
            </a:rPr>
            <a:t>A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="0" i="0" kern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 </a:t>
          </a:r>
          <a:r>
            <a:rPr lang="ru-RU" sz="1800" b="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Готов к установки модуля </a:t>
          </a:r>
          <a:r>
            <a:rPr lang="en-US" sz="1800" b="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Wi-Fi </a:t>
          </a:r>
          <a:r>
            <a:rPr lang="en-US" sz="1800" b="0" kern="1200">
              <a:solidFill>
                <a:srgbClr val="0060A8"/>
              </a:solidFill>
              <a:effectLst/>
              <a:latin typeface="+mn-lt"/>
              <a:ea typeface="+mn-ea"/>
              <a:cs typeface="+mn-cs"/>
            </a:rPr>
            <a:t>LA-WF-MD30</a:t>
          </a:r>
          <a:endParaRPr lang="ru-RU" b="0">
            <a:solidFill>
              <a:srgbClr val="0060A8"/>
            </a:solidFill>
            <a:effectLst/>
          </a:endParaRPr>
        </a:p>
        <a:p>
          <a:r>
            <a:rPr lang="en-US" sz="18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rPr>
            <a:t>o</a:t>
          </a:r>
          <a:r>
            <a:rPr lang="ru-RU" sz="18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sz="1800" b="0" i="0" u="none" strike="noStrike" kern="1200" baseline="0">
              <a:solidFill>
                <a:srgbClr val="0060A8"/>
              </a:solidFill>
              <a:latin typeface="+mn-lt"/>
              <a:ea typeface="+mn-ea"/>
              <a:cs typeface="+mn-cs"/>
            </a:rPr>
            <a:t>4</a:t>
          </a:r>
          <a:r>
            <a:rPr lang="ru-RU" sz="18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rPr>
            <a:t> режима работы: охлаждение, обогрев, осушение, вентиляция</a:t>
          </a:r>
        </a:p>
        <a:p>
          <a:r>
            <a:rPr lang="en-US" sz="18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rPr>
            <a:t>o</a:t>
          </a:r>
          <a:r>
            <a:rPr lang="ru-RU" sz="18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rPr>
            <a:t> Надежные компрессоры  </a:t>
          </a:r>
          <a:r>
            <a:rPr lang="en-US" sz="1800" b="0" i="0" u="none" strike="noStrike" kern="1200" baseline="0">
              <a:solidFill>
                <a:srgbClr val="0060A8"/>
              </a:solidFill>
              <a:latin typeface="+mn-lt"/>
              <a:ea typeface="+mn-ea"/>
              <a:cs typeface="+mn-cs"/>
            </a:rPr>
            <a:t>GMCC</a:t>
          </a:r>
        </a:p>
        <a:p>
          <a:r>
            <a:rPr lang="en-US" sz="18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rPr>
            <a:t>o</a:t>
          </a:r>
          <a:r>
            <a:rPr lang="ru-RU" sz="18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rPr>
            <a:t> Функция </a:t>
          </a:r>
          <a:r>
            <a:rPr lang="en-US" sz="1800" b="0" i="0" u="none" strike="noStrike" kern="1200" baseline="0">
              <a:solidFill>
                <a:srgbClr val="0060A8"/>
              </a:solidFill>
              <a:latin typeface="+mn-lt"/>
              <a:ea typeface="+mn-ea"/>
              <a:cs typeface="+mn-cs"/>
            </a:rPr>
            <a:t>Autorestart</a:t>
          </a:r>
        </a:p>
        <a:p>
          <a:r>
            <a:rPr lang="en-US" sz="18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rPr>
            <a:t>o</a:t>
          </a:r>
          <a:r>
            <a:rPr lang="ru-RU" sz="18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ru-RU" sz="1800" b="0" i="0" u="none" strike="noStrike" kern="1200" baseline="0">
              <a:solidFill>
                <a:srgbClr val="0060A8"/>
              </a:solidFill>
              <a:latin typeface="+mn-lt"/>
              <a:ea typeface="+mn-ea"/>
              <a:cs typeface="+mn-cs"/>
            </a:rPr>
            <a:t>Индикация</a:t>
          </a:r>
          <a:r>
            <a:rPr lang="ru-RU" sz="18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rPr>
            <a:t> режима работы</a:t>
          </a:r>
        </a:p>
        <a:p>
          <a:r>
            <a:rPr lang="en-US" sz="18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rPr>
            <a:t>o</a:t>
          </a:r>
          <a:r>
            <a:rPr lang="ru-RU" sz="18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rPr>
            <a:t> Таймер</a:t>
          </a:r>
        </a:p>
        <a:p>
          <a:r>
            <a:rPr lang="en-US" sz="18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rPr>
            <a:t>o</a:t>
          </a:r>
          <a:r>
            <a:rPr lang="ru-RU" sz="18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rPr>
            <a:t> Ночной режим</a:t>
          </a:r>
          <a:r>
            <a:rPr lang="en-US" sz="18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kumimoji="0" lang="en-US" sz="1800" b="0" i="0" u="none" strike="noStrike" kern="1200" cap="none" spc="0" normalizeH="0" baseline="0" noProof="0">
              <a:ln>
                <a:noFill/>
              </a:ln>
              <a:solidFill>
                <a:srgbClr val="0060A8"/>
              </a:solidFill>
              <a:effectLst/>
              <a:uLnTx/>
              <a:uFillTx/>
              <a:latin typeface="+mn-lt"/>
              <a:ea typeface="+mn-ea"/>
              <a:cs typeface="+mn-cs"/>
            </a:rPr>
            <a:t>SLEEP</a:t>
          </a:r>
          <a:endParaRPr lang="ru-RU" sz="1800" b="0" i="0" u="none" strike="noStrike" kern="1200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sz="18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rPr>
            <a:t>o</a:t>
          </a:r>
          <a:r>
            <a:rPr lang="ru-RU" sz="18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rPr>
            <a:t> Эргономичный пульт с подсветкой</a:t>
          </a:r>
          <a:endParaRPr lang="en-US" sz="1800" b="0" i="0" u="none" strike="noStrike" kern="1200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indent="0" algn="l" defTabSz="914400" rtl="0" eaLnBrk="1" latinLnBrk="0" hangingPunct="1">
            <a:lnSpc>
              <a:spcPct val="100000"/>
            </a:lnSpc>
          </a:pPr>
          <a:r>
            <a:rPr lang="en-US" sz="1800" b="0" i="0" kern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 </a:t>
          </a:r>
          <a:r>
            <a:rPr lang="ru-RU" sz="18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rPr>
            <a:t>Покрытие теплообменника </a:t>
          </a:r>
          <a:r>
            <a:rPr lang="en-US" sz="18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rPr>
            <a:t>Golden Fin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="0" i="0" kern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 </a:t>
          </a:r>
          <a:r>
            <a:rPr lang="ru-RU" sz="1800" b="0" i="0" kern="1200" baseline="0">
              <a:solidFill>
                <a:srgbClr val="0060A8"/>
              </a:solidFill>
              <a:effectLst/>
              <a:latin typeface="+mn-lt"/>
              <a:ea typeface="+mn-ea"/>
              <a:cs typeface="+mn-cs"/>
            </a:rPr>
            <a:t>Накладка на вентили </a:t>
          </a:r>
          <a:r>
            <a:rPr lang="ru-RU" sz="1800" b="0" i="0" kern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наружного блока </a:t>
          </a:r>
          <a:endParaRPr lang="en-US" sz="1800" b="0" i="0" u="none" strike="noStrike" kern="1200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endParaRPr lang="en-US" sz="1800" b="1" i="0" u="none" strike="noStrike" kern="1200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endParaRPr lang="ru-RU" sz="1800" b="0" i="0" u="none" strike="noStrike" kern="1200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endParaRPr lang="en-US" sz="1900" b="1">
            <a:solidFill>
              <a:srgbClr val="00665E"/>
            </a:solidFill>
            <a:latin typeface="Century Gothic" panose="020B0502020202020204" pitchFamily="34" charset="0"/>
          </a:endParaRPr>
        </a:p>
        <a:p>
          <a:endParaRPr lang="en-US" sz="1600" b="1">
            <a:solidFill>
              <a:srgbClr val="00665E"/>
            </a:solidFill>
          </a:endParaRPr>
        </a:p>
        <a:p>
          <a:endParaRPr lang="ru-RU" sz="1400"/>
        </a:p>
        <a:p>
          <a:endParaRPr lang="ru-RU" sz="1400" b="1">
            <a:solidFill>
              <a:srgbClr val="00665E"/>
            </a:solidFill>
          </a:endParaRPr>
        </a:p>
      </xdr:txBody>
    </xdr:sp>
    <xdr:clientData/>
  </xdr:twoCellAnchor>
  <xdr:oneCellAnchor>
    <xdr:from>
      <xdr:col>1</xdr:col>
      <xdr:colOff>69770</xdr:colOff>
      <xdr:row>14</xdr:row>
      <xdr:rowOff>1339102</xdr:rowOff>
    </xdr:from>
    <xdr:ext cx="3011848" cy="620567"/>
    <xdr:pic>
      <xdr:nvPicPr>
        <xdr:cNvPr id="34" name="Рисунок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89505" y="9194426"/>
          <a:ext cx="3011848" cy="620567"/>
        </a:xfrm>
        <a:prstGeom prst="roundRect">
          <a:avLst>
            <a:gd name="adj" fmla="val 16667"/>
          </a:avLst>
        </a:prstGeom>
        <a:ln>
          <a:noFill/>
        </a:ln>
        <a:effectLst>
          <a:outerShdw blurRad="76200" dist="38100" dir="7800000" algn="tl" rotWithShape="0">
            <a:srgbClr val="000000">
              <a:alpha val="40000"/>
            </a:srgbClr>
          </a:outerShdw>
        </a:effectLst>
        <a:scene3d>
          <a:camera prst="orthographicFront"/>
          <a:lightRig rig="contrasting" dir="t">
            <a:rot lat="0" lon="0" rev="4200000"/>
          </a:lightRig>
        </a:scene3d>
        <a:sp3d prstMaterial="plastic">
          <a:bevelT w="381000" h="114300" prst="relaxedInset"/>
          <a:contourClr>
            <a:srgbClr val="969696"/>
          </a:contourClr>
        </a:sp3d>
      </xdr:spPr>
    </xdr:pic>
    <xdr:clientData/>
  </xdr:oneCellAnchor>
  <xdr:oneCellAnchor>
    <xdr:from>
      <xdr:col>1</xdr:col>
      <xdr:colOff>88900</xdr:colOff>
      <xdr:row>4</xdr:row>
      <xdr:rowOff>1239923</xdr:rowOff>
    </xdr:from>
    <xdr:ext cx="3035300" cy="625399"/>
    <xdr:pic>
      <xdr:nvPicPr>
        <xdr:cNvPr id="30" name="Рисунок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08075" y="4002173"/>
          <a:ext cx="3035300" cy="625399"/>
        </a:xfrm>
        <a:prstGeom prst="roundRect">
          <a:avLst>
            <a:gd name="adj" fmla="val 16667"/>
          </a:avLst>
        </a:prstGeom>
        <a:ln>
          <a:noFill/>
        </a:ln>
        <a:effectLst>
          <a:outerShdw blurRad="76200" dist="38100" dir="7800000" algn="tl" rotWithShape="0">
            <a:srgbClr val="000000">
              <a:alpha val="40000"/>
            </a:srgbClr>
          </a:outerShdw>
        </a:effectLst>
        <a:scene3d>
          <a:camera prst="orthographicFront"/>
          <a:lightRig rig="contrasting" dir="t">
            <a:rot lat="0" lon="0" rev="4200000"/>
          </a:lightRig>
        </a:scene3d>
        <a:sp3d prstMaterial="plastic">
          <a:bevelT w="381000" h="114300" prst="relaxedInset"/>
          <a:contourClr>
            <a:srgbClr val="969696"/>
          </a:contourClr>
        </a:sp3d>
      </xdr:spPr>
    </xdr:pic>
    <xdr:clientData/>
  </xdr:oneCellAnchor>
  <xdr:oneCellAnchor>
    <xdr:from>
      <xdr:col>1</xdr:col>
      <xdr:colOff>142874</xdr:colOff>
      <xdr:row>4</xdr:row>
      <xdr:rowOff>119288</xdr:rowOff>
    </xdr:from>
    <xdr:ext cx="2819401" cy="97283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1162049" y="2881538"/>
          <a:ext cx="2819401" cy="9728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2800" b="1">
              <a:solidFill>
                <a:srgbClr val="0060A8"/>
              </a:solidFill>
              <a:latin typeface="Century Gothic" panose="020B0502020202020204" pitchFamily="34" charset="0"/>
            </a:rPr>
            <a:t>APUS Inverter</a:t>
          </a:r>
          <a:r>
            <a:rPr lang="ru-RU" sz="2800" b="1">
              <a:solidFill>
                <a:srgbClr val="0060A8"/>
              </a:solidFill>
              <a:latin typeface="Century Gothic" panose="020B0502020202020204" pitchFamily="34" charset="0"/>
            </a:rPr>
            <a:t> </a:t>
          </a:r>
        </a:p>
        <a:p>
          <a:pPr algn="ctr"/>
          <a:r>
            <a:rPr lang="ru-RU" sz="2800" b="1">
              <a:solidFill>
                <a:srgbClr val="FF0000"/>
              </a:solidFill>
              <a:latin typeface="Century Gothic" panose="020B0502020202020204" pitchFamily="34" charset="0"/>
            </a:rPr>
            <a:t>2024</a:t>
          </a:r>
        </a:p>
      </xdr:txBody>
    </xdr:sp>
    <xdr:clientData/>
  </xdr:oneCellAnchor>
  <xdr:twoCellAnchor editAs="oneCell">
    <xdr:from>
      <xdr:col>4</xdr:col>
      <xdr:colOff>943349</xdr:colOff>
      <xdr:row>4</xdr:row>
      <xdr:rowOff>497729</xdr:rowOff>
    </xdr:from>
    <xdr:to>
      <xdr:col>7</xdr:col>
      <xdr:colOff>321235</xdr:colOff>
      <xdr:row>4</xdr:row>
      <xdr:rowOff>2011501</xdr:rowOff>
    </xdr:to>
    <xdr:pic>
      <xdr:nvPicPr>
        <xdr:cNvPr id="36" name="Рисунок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5223996" y="3254376"/>
          <a:ext cx="3367180" cy="1513772"/>
        </a:xfrm>
        <a:prstGeom prst="rect">
          <a:avLst/>
        </a:prstGeom>
      </xdr:spPr>
    </xdr:pic>
    <xdr:clientData/>
  </xdr:twoCellAnchor>
  <xdr:twoCellAnchor>
    <xdr:from>
      <xdr:col>7</xdr:col>
      <xdr:colOff>769283</xdr:colOff>
      <xdr:row>4</xdr:row>
      <xdr:rowOff>1396814</xdr:rowOff>
    </xdr:from>
    <xdr:to>
      <xdr:col>8</xdr:col>
      <xdr:colOff>642097</xdr:colOff>
      <xdr:row>4</xdr:row>
      <xdr:rowOff>2177864</xdr:rowOff>
    </xdr:to>
    <xdr:grpSp>
      <xdr:nvGrpSpPr>
        <xdr:cNvPr id="47" name="Группа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8008283" y="3846100"/>
          <a:ext cx="784493" cy="781050"/>
          <a:chOff x="9803548" y="9303645"/>
          <a:chExt cx="1234023" cy="1286367"/>
        </a:xfrm>
      </xdr:grpSpPr>
      <xdr:sp macro="" textlink="">
        <xdr:nvSpPr>
          <xdr:cNvPr id="48" name="Скругленный прямоугольник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/>
        </xdr:nvSpPr>
        <xdr:spPr>
          <a:xfrm>
            <a:off x="9803548" y="9303645"/>
            <a:ext cx="1234023" cy="1286367"/>
          </a:xfrm>
          <a:prstGeom prst="roundRect">
            <a:avLst/>
          </a:prstGeom>
          <a:gradFill flip="none" rotWithShape="1">
            <a:gsLst>
              <a:gs pos="0">
                <a:srgbClr val="4B93C9">
                  <a:shade val="30000"/>
                  <a:satMod val="115000"/>
                </a:srgbClr>
              </a:gs>
              <a:gs pos="50000">
                <a:srgbClr val="4B93C9">
                  <a:shade val="67500"/>
                  <a:satMod val="115000"/>
                </a:srgbClr>
              </a:gs>
              <a:gs pos="100000">
                <a:srgbClr val="4B93C9">
                  <a:shade val="100000"/>
                  <a:satMod val="115000"/>
                </a:srgbClr>
              </a:gs>
            </a:gsLst>
            <a:path path="circle">
              <a:fillToRect l="100000" t="100000"/>
            </a:path>
            <a:tileRect r="-100000" b="-100000"/>
          </a:gra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ru-RU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ru-RU"/>
          </a:p>
        </xdr:txBody>
      </xdr:sp>
      <xdr:sp macro="" textlink="">
        <xdr:nvSpPr>
          <xdr:cNvPr id="49" name="TextBox 2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 txBox="1"/>
        </xdr:nvSpPr>
        <xdr:spPr>
          <a:xfrm>
            <a:off x="9973789" y="9623661"/>
            <a:ext cx="912429" cy="6161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ru-RU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800" b="1">
                <a:solidFill>
                  <a:schemeClr val="bg1"/>
                </a:solidFill>
              </a:rPr>
              <a:t>R32</a:t>
            </a:r>
            <a:endParaRPr lang="ru-RU" sz="1800" b="1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7</xdr:col>
      <xdr:colOff>732328</xdr:colOff>
      <xdr:row>4</xdr:row>
      <xdr:rowOff>429350</xdr:rowOff>
    </xdr:from>
    <xdr:to>
      <xdr:col>8</xdr:col>
      <xdr:colOff>638735</xdr:colOff>
      <xdr:row>4</xdr:row>
      <xdr:rowOff>1210235</xdr:rowOff>
    </xdr:to>
    <xdr:grpSp>
      <xdr:nvGrpSpPr>
        <xdr:cNvPr id="50" name="Группа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7971328" y="2878636"/>
          <a:ext cx="818086" cy="780885"/>
          <a:chOff x="9777559" y="9303645"/>
          <a:chExt cx="1269515" cy="1286367"/>
        </a:xfrm>
      </xdr:grpSpPr>
      <xdr:sp macro="" textlink="">
        <xdr:nvSpPr>
          <xdr:cNvPr id="51" name="Скругленный прямоугольник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/>
        </xdr:nvSpPr>
        <xdr:spPr>
          <a:xfrm>
            <a:off x="9803548" y="9303645"/>
            <a:ext cx="1234023" cy="1286367"/>
          </a:xfrm>
          <a:prstGeom prst="roundRect">
            <a:avLst/>
          </a:prstGeom>
          <a:gradFill flip="none" rotWithShape="1">
            <a:gsLst>
              <a:gs pos="0">
                <a:srgbClr val="4B93C9">
                  <a:shade val="30000"/>
                  <a:satMod val="115000"/>
                </a:srgbClr>
              </a:gs>
              <a:gs pos="50000">
                <a:srgbClr val="4B93C9">
                  <a:shade val="67500"/>
                  <a:satMod val="115000"/>
                </a:srgbClr>
              </a:gs>
              <a:gs pos="100000">
                <a:srgbClr val="4B93C9">
                  <a:shade val="100000"/>
                  <a:satMod val="115000"/>
                </a:srgbClr>
              </a:gs>
            </a:gsLst>
            <a:path path="circle">
              <a:fillToRect l="100000" t="100000"/>
            </a:path>
            <a:tileRect r="-100000" b="-100000"/>
          </a:gra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ru-RU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ru-RU"/>
          </a:p>
        </xdr:txBody>
      </xdr:sp>
      <xdr:sp macro="" textlink="">
        <xdr:nvSpPr>
          <xdr:cNvPr id="52" name="TextBox 2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 txBox="1"/>
        </xdr:nvSpPr>
        <xdr:spPr>
          <a:xfrm>
            <a:off x="9777559" y="9580354"/>
            <a:ext cx="1269515" cy="690555"/>
          </a:xfrm>
          <a:prstGeom prst="rect">
            <a:avLst/>
          </a:prstGeom>
          <a:noFill/>
        </xdr:spPr>
        <xdr:txBody>
          <a:bodyPr wrap="square" rtlCol="0" anchor="ctr">
            <a:spAutoFit/>
          </a:bodyPr>
          <a:lstStyle>
            <a:defPPr>
              <a:defRPr lang="ru-RU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600" b="1">
                <a:solidFill>
                  <a:schemeClr val="bg1"/>
                </a:solidFill>
              </a:rPr>
              <a:t>WI-FI</a:t>
            </a:r>
          </a:p>
          <a:p>
            <a:pPr algn="ctr"/>
            <a:r>
              <a:rPr lang="en-US" sz="1600" b="1">
                <a:solidFill>
                  <a:schemeClr val="bg1"/>
                </a:solidFill>
              </a:rPr>
              <a:t>ready</a:t>
            </a:r>
            <a:endParaRPr lang="ru-RU" sz="1600" b="1">
              <a:solidFill>
                <a:schemeClr val="bg1"/>
              </a:solidFill>
            </a:endParaRPr>
          </a:p>
        </xdr:txBody>
      </xdr:sp>
    </xdr:grpSp>
    <xdr:clientData/>
  </xdr:twoCellAnchor>
  <xdr:twoCellAnchor editAs="oneCell">
    <xdr:from>
      <xdr:col>1</xdr:col>
      <xdr:colOff>140074</xdr:colOff>
      <xdr:row>35</xdr:row>
      <xdr:rowOff>67235</xdr:rowOff>
    </xdr:from>
    <xdr:to>
      <xdr:col>3</xdr:col>
      <xdr:colOff>705759</xdr:colOff>
      <xdr:row>35</xdr:row>
      <xdr:rowOff>1535205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t="23429" b="19429"/>
        <a:stretch/>
      </xdr:blipFill>
      <xdr:spPr>
        <a:xfrm>
          <a:off x="1159809" y="16943294"/>
          <a:ext cx="2571538" cy="1467970"/>
        </a:xfrm>
        <a:prstGeom prst="rect">
          <a:avLst/>
        </a:prstGeom>
      </xdr:spPr>
    </xdr:pic>
    <xdr:clientData/>
  </xdr:twoCellAnchor>
  <xdr:twoCellAnchor editAs="oneCell">
    <xdr:from>
      <xdr:col>4</xdr:col>
      <xdr:colOff>655545</xdr:colOff>
      <xdr:row>34</xdr:row>
      <xdr:rowOff>341780</xdr:rowOff>
    </xdr:from>
    <xdr:to>
      <xdr:col>6</xdr:col>
      <xdr:colOff>1294467</xdr:colOff>
      <xdr:row>37</xdr:row>
      <xdr:rowOff>53554</xdr:rowOff>
    </xdr:to>
    <xdr:pic>
      <xdr:nvPicPr>
        <xdr:cNvPr id="17" name="Рисунок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936192" y="16489456"/>
          <a:ext cx="3205069" cy="2244304"/>
        </a:xfrm>
        <a:prstGeom prst="rect">
          <a:avLst/>
        </a:prstGeom>
      </xdr:spPr>
    </xdr:pic>
    <xdr:clientData/>
  </xdr:twoCellAnchor>
  <xdr:oneCellAnchor>
    <xdr:from>
      <xdr:col>9</xdr:col>
      <xdr:colOff>514350</xdr:colOff>
      <xdr:row>35</xdr:row>
      <xdr:rowOff>342900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11410950" y="22726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23906</xdr:colOff>
      <xdr:row>35</xdr:row>
      <xdr:rowOff>12513</xdr:rowOff>
    </xdr:from>
    <xdr:ext cx="8083550" cy="154305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9201524" y="16888572"/>
          <a:ext cx="8083550" cy="15430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5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rPr>
            <a:t>o</a:t>
          </a:r>
          <a:r>
            <a:rPr lang="ru-RU" sz="15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rPr>
            <a:t> Полностью русифицированное приложение для управления всеми </a:t>
          </a:r>
        </a:p>
        <a:p>
          <a:r>
            <a:rPr lang="ru-RU" sz="15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rPr>
            <a:t>функциями сплит-систем</a:t>
          </a:r>
        </a:p>
        <a:p>
          <a:r>
            <a:rPr lang="en-US" sz="15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rPr>
            <a:t>o</a:t>
          </a:r>
          <a:r>
            <a:rPr lang="ru-RU" sz="15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rPr>
            <a:t> Возможность управления по </a:t>
          </a:r>
          <a:r>
            <a:rPr lang="en-US" sz="1500" b="0" i="0" u="none" strike="noStrike" kern="1200" baseline="0">
              <a:solidFill>
                <a:srgbClr val="0060A8"/>
              </a:solidFill>
              <a:latin typeface="+mn-lt"/>
              <a:ea typeface="+mn-ea"/>
              <a:cs typeface="+mn-cs"/>
            </a:rPr>
            <a:t>Wi-FI </a:t>
          </a:r>
          <a:r>
            <a:rPr lang="ru-RU" sz="15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rPr>
            <a:t>как из домашней, так и из мобильной сети</a:t>
          </a:r>
        </a:p>
        <a:p>
          <a:r>
            <a:rPr lang="en-US" sz="15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rPr>
            <a:t>o</a:t>
          </a:r>
          <a:r>
            <a:rPr lang="ru-RU" sz="15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rPr>
            <a:t> Удобное </a:t>
          </a:r>
          <a:r>
            <a:rPr lang="en-US" sz="1500" b="0" i="0" u="none" strike="noStrike" kern="1200" baseline="0">
              <a:solidFill>
                <a:srgbClr val="0060A8"/>
              </a:solidFill>
              <a:latin typeface="+mn-lt"/>
              <a:ea typeface="+mn-ea"/>
              <a:cs typeface="+mn-cs"/>
            </a:rPr>
            <a:t>USB-</a:t>
          </a:r>
          <a:r>
            <a:rPr lang="ru-RU" sz="1500" b="0" i="0" u="none" strike="noStrike" kern="1200" baseline="0">
              <a:solidFill>
                <a:srgbClr val="0060A8"/>
              </a:solidFill>
              <a:latin typeface="+mn-lt"/>
              <a:ea typeface="+mn-ea"/>
              <a:cs typeface="+mn-cs"/>
            </a:rPr>
            <a:t>подключение</a:t>
          </a:r>
          <a:endParaRPr lang="ru-RU" sz="1500" b="0" i="0" u="none" strike="noStrike" kern="1200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sz="15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rPr>
            <a:t>o</a:t>
          </a:r>
          <a:r>
            <a:rPr lang="ru-RU" sz="15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rPr>
            <a:t> Подходит для моделей </a:t>
          </a:r>
          <a:r>
            <a:rPr lang="en-US" sz="1500" b="0" i="0" u="none" strike="noStrike" kern="1200" baseline="0">
              <a:solidFill>
                <a:srgbClr val="0060A8"/>
              </a:solidFill>
              <a:latin typeface="+mn-lt"/>
              <a:ea typeface="+mn-ea"/>
              <a:cs typeface="+mn-cs"/>
            </a:rPr>
            <a:t>APUS Inverter </a:t>
          </a:r>
          <a:r>
            <a:rPr lang="ru-RU" sz="15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rPr>
            <a:t>и </a:t>
          </a:r>
          <a:r>
            <a:rPr lang="en-US" sz="1500" b="0" i="0" u="none" strike="noStrike" kern="1200" baseline="0">
              <a:solidFill>
                <a:srgbClr val="0060A8"/>
              </a:solidFill>
              <a:latin typeface="+mn-lt"/>
              <a:ea typeface="+mn-ea"/>
              <a:cs typeface="+mn-cs"/>
            </a:rPr>
            <a:t>APUS</a:t>
          </a:r>
          <a:endParaRPr lang="ru-RU" sz="1500" b="0" i="0" u="none" strike="noStrike" kern="1200" baseline="0">
            <a:solidFill>
              <a:srgbClr val="0060A8"/>
            </a:solidFill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1</xdr:col>
      <xdr:colOff>401300</xdr:colOff>
      <xdr:row>14</xdr:row>
      <xdr:rowOff>134711</xdr:rowOff>
    </xdr:from>
    <xdr:ext cx="1972784" cy="532582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/>
      </xdr:nvSpPr>
      <xdr:spPr>
        <a:xfrm>
          <a:off x="1420475" y="7992836"/>
          <a:ext cx="1972784" cy="53258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US" sz="2800" b="1">
              <a:solidFill>
                <a:srgbClr val="0060A8"/>
              </a:solidFill>
              <a:latin typeface="Century Gothic" panose="020B0502020202020204" pitchFamily="34" charset="0"/>
            </a:rPr>
            <a:t>APUS</a:t>
          </a:r>
          <a:r>
            <a:rPr lang="ru-RU" sz="2800" b="1">
              <a:solidFill>
                <a:srgbClr val="0060A8"/>
              </a:solidFill>
              <a:latin typeface="Century Gothic" panose="020B0502020202020204" pitchFamily="34" charset="0"/>
            </a:rPr>
            <a:t> </a:t>
          </a:r>
          <a:r>
            <a:rPr lang="ru-RU" sz="2800" b="1">
              <a:solidFill>
                <a:srgbClr val="FF0000"/>
              </a:solidFill>
              <a:latin typeface="Century Gothic" panose="020B0502020202020204" pitchFamily="34" charset="0"/>
            </a:rPr>
            <a:t>2025</a:t>
          </a:r>
        </a:p>
      </xdr:txBody>
    </xdr:sp>
    <xdr:clientData/>
  </xdr:oneCellAnchor>
  <xdr:oneCellAnchor>
    <xdr:from>
      <xdr:col>1</xdr:col>
      <xdr:colOff>1968500</xdr:colOff>
      <xdr:row>14</xdr:row>
      <xdr:rowOff>555625</xdr:rowOff>
    </xdr:from>
    <xdr:ext cx="1232517" cy="468013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968500" y="8620125"/>
          <a:ext cx="1232517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400" b="1">
              <a:solidFill>
                <a:srgbClr val="FF0000"/>
              </a:solidFill>
            </a:rPr>
            <a:t>UPDATE</a:t>
          </a:r>
          <a:endParaRPr lang="ru-RU" sz="2400" b="1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103761</xdr:colOff>
      <xdr:row>27</xdr:row>
      <xdr:rowOff>1327897</xdr:rowOff>
    </xdr:from>
    <xdr:ext cx="3000269" cy="618181"/>
    <xdr:pic>
      <xdr:nvPicPr>
        <xdr:cNvPr id="40" name="Рисунок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23496" y="14315515"/>
          <a:ext cx="3000269" cy="618181"/>
        </a:xfrm>
        <a:prstGeom prst="roundRect">
          <a:avLst>
            <a:gd name="adj" fmla="val 16667"/>
          </a:avLst>
        </a:prstGeom>
        <a:ln>
          <a:noFill/>
        </a:ln>
        <a:effectLst>
          <a:outerShdw blurRad="76200" dist="38100" dir="7800000" algn="tl" rotWithShape="0">
            <a:srgbClr val="000000">
              <a:alpha val="40000"/>
            </a:srgbClr>
          </a:outerShdw>
        </a:effectLst>
        <a:scene3d>
          <a:camera prst="orthographicFront"/>
          <a:lightRig rig="contrasting" dir="t">
            <a:rot lat="0" lon="0" rev="4200000"/>
          </a:lightRig>
        </a:scene3d>
        <a:sp3d prstMaterial="plastic">
          <a:bevelT w="381000" h="114300" prst="relaxedInset"/>
          <a:contourClr>
            <a:srgbClr val="969696"/>
          </a:contourClr>
        </a:sp3d>
      </xdr:spPr>
    </xdr:pic>
    <xdr:clientData/>
  </xdr:oneCellAnchor>
  <xdr:oneCellAnchor>
    <xdr:from>
      <xdr:col>4</xdr:col>
      <xdr:colOff>945027</xdr:colOff>
      <xdr:row>27</xdr:row>
      <xdr:rowOff>549357</xdr:rowOff>
    </xdr:from>
    <xdr:ext cx="3358032" cy="1387215"/>
    <xdr:pic>
      <xdr:nvPicPr>
        <xdr:cNvPr id="41" name="Рисунок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5225674" y="13536975"/>
          <a:ext cx="3358032" cy="1387215"/>
        </a:xfrm>
        <a:prstGeom prst="rect">
          <a:avLst/>
        </a:prstGeom>
      </xdr:spPr>
    </xdr:pic>
    <xdr:clientData/>
  </xdr:oneCellAnchor>
  <xdr:oneCellAnchor>
    <xdr:from>
      <xdr:col>4</xdr:col>
      <xdr:colOff>233456</xdr:colOff>
      <xdr:row>14</xdr:row>
      <xdr:rowOff>558829</xdr:rowOff>
    </xdr:from>
    <xdr:ext cx="544286" cy="1113741"/>
    <xdr:pic>
      <xdr:nvPicPr>
        <xdr:cNvPr id="42" name="Рисунок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4514103" y="8414153"/>
          <a:ext cx="544286" cy="1113741"/>
        </a:xfrm>
        <a:prstGeom prst="rect">
          <a:avLst/>
        </a:prstGeom>
      </xdr:spPr>
    </xdr:pic>
    <xdr:clientData/>
  </xdr:oneCellAnchor>
  <xdr:twoCellAnchor>
    <xdr:from>
      <xdr:col>9</xdr:col>
      <xdr:colOff>88900</xdr:colOff>
      <xdr:row>14</xdr:row>
      <xdr:rowOff>31749</xdr:rowOff>
    </xdr:from>
    <xdr:to>
      <xdr:col>17</xdr:col>
      <xdr:colOff>320221</xdr:colOff>
      <xdr:row>14</xdr:row>
      <xdr:rowOff>2034268</xdr:rowOff>
    </xdr:to>
    <xdr:sp macro="" textlink="">
      <xdr:nvSpPr>
        <xdr:cNvPr id="43" name="Подзаголовок 5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>
          <a:spLocks/>
        </xdr:cNvSpPr>
      </xdr:nvSpPr>
      <xdr:spPr>
        <a:xfrm>
          <a:off x="9299575" y="7232649"/>
          <a:ext cx="4612821" cy="2002519"/>
        </a:xfrm>
        <a:prstGeom prst="rect">
          <a:avLst/>
        </a:prstGeom>
      </xdr:spPr>
      <xdr:txBody>
        <a:bodyPr vert="horz" wrap="square" lIns="91440" tIns="45720" rIns="91440" bIns="45720" rtlCol="0">
          <a:normAutofit fontScale="85000" lnSpcReduction="20000"/>
        </a:bodyPr>
        <a:lstStyle>
          <a:defPPr>
            <a:defRPr lang="ru-RU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="0" i="0" kern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ru-RU" sz="1800" b="0" i="0" kern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Высокий класс энергоэффективности </a:t>
          </a:r>
          <a:r>
            <a:rPr lang="en-US" sz="1800" b="0" i="0" kern="1200" baseline="0">
              <a:solidFill>
                <a:srgbClr val="0060A8"/>
              </a:solidFill>
              <a:effectLst/>
              <a:latin typeface="+mn-lt"/>
              <a:ea typeface="+mn-ea"/>
              <a:cs typeface="+mn-cs"/>
            </a:rPr>
            <a:t>A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="0" i="0" kern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 </a:t>
          </a:r>
          <a:r>
            <a:rPr lang="ru-RU" sz="1800" b="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Готов к установки модуля </a:t>
          </a:r>
          <a:r>
            <a:rPr lang="en-US" sz="1800" b="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Wi-Fi </a:t>
          </a:r>
          <a:r>
            <a:rPr lang="en-US" sz="1800" b="0" kern="1200">
              <a:solidFill>
                <a:srgbClr val="0060A8"/>
              </a:solidFill>
              <a:effectLst/>
              <a:latin typeface="+mn-lt"/>
              <a:ea typeface="+mn-ea"/>
              <a:cs typeface="+mn-cs"/>
            </a:rPr>
            <a:t>LA-WF-MD30</a:t>
          </a:r>
          <a:endParaRPr lang="ru-RU" b="0">
            <a:solidFill>
              <a:srgbClr val="0060A8"/>
            </a:solidFill>
            <a:effectLst/>
          </a:endParaRPr>
        </a:p>
        <a:p>
          <a:r>
            <a:rPr lang="en-US" sz="18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rPr>
            <a:t>o</a:t>
          </a:r>
          <a:r>
            <a:rPr lang="ru-RU" sz="18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sz="1800" b="0" i="0" u="none" strike="noStrike" kern="1200" baseline="0">
              <a:solidFill>
                <a:srgbClr val="0060A8"/>
              </a:solidFill>
              <a:latin typeface="+mn-lt"/>
              <a:ea typeface="+mn-ea"/>
              <a:cs typeface="+mn-cs"/>
            </a:rPr>
            <a:t>4</a:t>
          </a:r>
          <a:r>
            <a:rPr lang="ru-RU" sz="18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rPr>
            <a:t> режима работы: охлаждение, обогрев, осушение, вентиляция</a:t>
          </a:r>
        </a:p>
        <a:p>
          <a:r>
            <a:rPr lang="en-US" sz="18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rPr>
            <a:t>o</a:t>
          </a:r>
          <a:r>
            <a:rPr lang="ru-RU" sz="18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rPr>
            <a:t> Надежные компрессоры  </a:t>
          </a:r>
          <a:r>
            <a:rPr lang="en-US" sz="1800" b="0" i="0" u="none" strike="noStrike" kern="1200" baseline="0">
              <a:solidFill>
                <a:srgbClr val="0060A8"/>
              </a:solidFill>
              <a:latin typeface="+mn-lt"/>
              <a:ea typeface="+mn-ea"/>
              <a:cs typeface="+mn-cs"/>
            </a:rPr>
            <a:t>GMCC</a:t>
          </a:r>
        </a:p>
        <a:p>
          <a:r>
            <a:rPr lang="en-US" sz="18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rPr>
            <a:t>o</a:t>
          </a:r>
          <a:r>
            <a:rPr lang="ru-RU" sz="18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rPr>
            <a:t> Функция </a:t>
          </a:r>
          <a:r>
            <a:rPr lang="en-US" sz="1800" b="0" i="0" u="none" strike="noStrike" kern="1200" baseline="0">
              <a:solidFill>
                <a:srgbClr val="0060A8"/>
              </a:solidFill>
              <a:latin typeface="+mn-lt"/>
              <a:ea typeface="+mn-ea"/>
              <a:cs typeface="+mn-cs"/>
            </a:rPr>
            <a:t>Autorestart</a:t>
          </a:r>
        </a:p>
        <a:p>
          <a:r>
            <a:rPr lang="en-US" sz="18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rPr>
            <a:t>o</a:t>
          </a:r>
          <a:r>
            <a:rPr lang="ru-RU" sz="18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ru-RU" sz="1800" b="0" i="0" u="none" strike="noStrike" kern="1200" baseline="0">
              <a:solidFill>
                <a:srgbClr val="0060A8"/>
              </a:solidFill>
              <a:latin typeface="+mn-lt"/>
              <a:ea typeface="+mn-ea"/>
              <a:cs typeface="+mn-cs"/>
            </a:rPr>
            <a:t>Индикация</a:t>
          </a:r>
          <a:r>
            <a:rPr lang="ru-RU" sz="18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rPr>
            <a:t> режима работы</a:t>
          </a:r>
        </a:p>
        <a:p>
          <a:r>
            <a:rPr lang="en-US" sz="18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rPr>
            <a:t>o</a:t>
          </a:r>
          <a:r>
            <a:rPr lang="ru-RU" sz="18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rPr>
            <a:t> Таймер</a:t>
          </a:r>
        </a:p>
        <a:p>
          <a:r>
            <a:rPr lang="en-US" sz="18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rPr>
            <a:t>o</a:t>
          </a:r>
          <a:r>
            <a:rPr lang="ru-RU" sz="18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rPr>
            <a:t> Ночной режим</a:t>
          </a:r>
          <a:r>
            <a:rPr lang="en-US" sz="18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kumimoji="0" lang="en-US" sz="1800" b="0" i="0" u="none" strike="noStrike" kern="1200" cap="none" spc="0" normalizeH="0" baseline="0" noProof="0">
              <a:ln>
                <a:noFill/>
              </a:ln>
              <a:solidFill>
                <a:srgbClr val="0060A8"/>
              </a:solidFill>
              <a:effectLst/>
              <a:uLnTx/>
              <a:uFillTx/>
              <a:latin typeface="+mn-lt"/>
              <a:ea typeface="+mn-ea"/>
              <a:cs typeface="+mn-cs"/>
            </a:rPr>
            <a:t>SLEEP</a:t>
          </a:r>
          <a:endParaRPr lang="ru-RU" sz="1800" b="0" i="0" u="none" strike="noStrike" kern="1200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sz="18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rPr>
            <a:t>o</a:t>
          </a:r>
          <a:r>
            <a:rPr lang="ru-RU" sz="18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rPr>
            <a:t> Эргономичный пульт с подсветкой</a:t>
          </a:r>
          <a:endParaRPr lang="en-US" sz="1800" b="0" i="0" u="none" strike="noStrike" kern="1200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indent="0" algn="l" defTabSz="914400" rtl="0" eaLnBrk="1" latinLnBrk="0" hangingPunct="1">
            <a:lnSpc>
              <a:spcPct val="100000"/>
            </a:lnSpc>
          </a:pPr>
          <a:r>
            <a:rPr lang="en-US" sz="1800" b="0" i="0" kern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 </a:t>
          </a:r>
          <a:r>
            <a:rPr lang="ru-RU" sz="18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rPr>
            <a:t>Озонобезопасный хладагент </a:t>
          </a:r>
          <a:r>
            <a:rPr kumimoji="0" lang="en-US" sz="1800" b="0" i="0" u="none" strike="noStrike" kern="1200" cap="none" spc="0" normalizeH="0" baseline="0">
              <a:ln>
                <a:noFill/>
              </a:ln>
              <a:solidFill>
                <a:srgbClr val="0060A8"/>
              </a:solidFill>
              <a:effectLst/>
              <a:uLnTx/>
              <a:uFillTx/>
              <a:latin typeface="+mn-lt"/>
              <a:ea typeface="+mn-ea"/>
              <a:cs typeface="+mn-cs"/>
            </a:rPr>
            <a:t>R32</a:t>
          </a:r>
        </a:p>
        <a:p>
          <a:r>
            <a:rPr lang="en-US" sz="18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rPr>
            <a:t>o </a:t>
          </a:r>
          <a:r>
            <a:rPr lang="ru-RU" sz="18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rPr>
            <a:t>Покрытие теплообменника </a:t>
          </a:r>
          <a:r>
            <a:rPr lang="en-US" sz="18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rPr>
            <a:t>Golden Fin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="0" i="0" kern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 </a:t>
          </a:r>
          <a:r>
            <a:rPr lang="ru-RU" sz="1800" b="0" i="0" kern="1200" baseline="0">
              <a:solidFill>
                <a:srgbClr val="0060A8"/>
              </a:solidFill>
              <a:effectLst/>
              <a:latin typeface="+mn-lt"/>
              <a:ea typeface="+mn-ea"/>
              <a:cs typeface="+mn-cs"/>
            </a:rPr>
            <a:t>Накладка на вентили </a:t>
          </a:r>
          <a:r>
            <a:rPr lang="ru-RU" sz="1800" b="0" i="0" kern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наружного блока *</a:t>
          </a:r>
          <a:endParaRPr lang="en-US" sz="1800" b="0" i="0" u="none" strike="noStrike" kern="1200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endParaRPr lang="en-US" sz="1800" b="1" i="0" u="none" strike="noStrike" kern="1200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endParaRPr lang="ru-RU" sz="1800" b="0" i="0" u="none" strike="noStrike" kern="1200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endParaRPr lang="en-US" sz="1900" b="1">
            <a:solidFill>
              <a:srgbClr val="00665E"/>
            </a:solidFill>
            <a:latin typeface="Century Gothic" panose="020B0502020202020204" pitchFamily="34" charset="0"/>
          </a:endParaRPr>
        </a:p>
        <a:p>
          <a:endParaRPr lang="en-US" sz="1600" b="1">
            <a:solidFill>
              <a:srgbClr val="00665E"/>
            </a:solidFill>
          </a:endParaRPr>
        </a:p>
        <a:p>
          <a:endParaRPr lang="ru-RU" sz="1400"/>
        </a:p>
        <a:p>
          <a:endParaRPr lang="ru-RU" sz="1400" b="1">
            <a:solidFill>
              <a:srgbClr val="00665E"/>
            </a:solidFill>
          </a:endParaRPr>
        </a:p>
      </xdr:txBody>
    </xdr:sp>
    <xdr:clientData/>
  </xdr:twoCellAnchor>
  <xdr:oneCellAnchor>
    <xdr:from>
      <xdr:col>1</xdr:col>
      <xdr:colOff>410882</xdr:colOff>
      <xdr:row>27</xdr:row>
      <xdr:rowOff>579905</xdr:rowOff>
    </xdr:from>
    <xdr:ext cx="2100127" cy="468013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 txBox="1"/>
      </xdr:nvSpPr>
      <xdr:spPr>
        <a:xfrm>
          <a:off x="1430617" y="13567523"/>
          <a:ext cx="2100127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2400" b="1">
              <a:solidFill>
                <a:srgbClr val="FF0000"/>
              </a:solidFill>
            </a:rPr>
            <a:t>РАСПРОДАЖА</a:t>
          </a:r>
        </a:p>
      </xdr:txBody>
    </xdr:sp>
    <xdr:clientData/>
  </xdr:oneCellAnchor>
  <xdr:oneCellAnchor>
    <xdr:from>
      <xdr:col>16</xdr:col>
      <xdr:colOff>165100</xdr:colOff>
      <xdr:row>4</xdr:row>
      <xdr:rowOff>2419350</xdr:rowOff>
    </xdr:from>
    <xdr:ext cx="1210396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3014325" y="4857750"/>
          <a:ext cx="121039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 i="1"/>
            <a:t>*для модели 12</a:t>
          </a:r>
          <a:r>
            <a:rPr lang="en-US" sz="1100" i="1"/>
            <a:t>k</a:t>
          </a:r>
          <a:endParaRPr lang="ru-RU" sz="1100" i="1"/>
        </a:p>
      </xdr:txBody>
    </xdr:sp>
    <xdr:clientData/>
  </xdr:oneCellAnchor>
  <xdr:oneCellAnchor>
    <xdr:from>
      <xdr:col>16</xdr:col>
      <xdr:colOff>203200</xdr:colOff>
      <xdr:row>14</xdr:row>
      <xdr:rowOff>2333625</xdr:rowOff>
    </xdr:from>
    <xdr:ext cx="1281376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 txBox="1"/>
      </xdr:nvSpPr>
      <xdr:spPr>
        <a:xfrm>
          <a:off x="13052425" y="9534525"/>
          <a:ext cx="128137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 i="1"/>
            <a:t>*кроме</a:t>
          </a:r>
          <a:r>
            <a:rPr lang="ru-RU" sz="1100" i="1" baseline="0"/>
            <a:t> модели 7</a:t>
          </a:r>
          <a:r>
            <a:rPr lang="en-US" sz="1100" i="1"/>
            <a:t>k</a:t>
          </a:r>
          <a:endParaRPr lang="ru-RU" sz="1100" i="1"/>
        </a:p>
      </xdr:txBody>
    </xdr:sp>
    <xdr:clientData/>
  </xdr:oneCellAnchor>
  <xdr:oneCellAnchor>
    <xdr:from>
      <xdr:col>6</xdr:col>
      <xdr:colOff>620977</xdr:colOff>
      <xdr:row>1</xdr:row>
      <xdr:rowOff>197303</xdr:rowOff>
    </xdr:from>
    <xdr:ext cx="2640723" cy="471347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 txBox="1"/>
      </xdr:nvSpPr>
      <xdr:spPr>
        <a:xfrm>
          <a:off x="6450277" y="1502228"/>
          <a:ext cx="2640723" cy="4713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ru-RU" sz="2400" b="1" baseline="0">
              <a:solidFill>
                <a:srgbClr val="0060A8"/>
              </a:solidFill>
              <a:latin typeface="Stem Text" panose="020B0503020203020204" pitchFamily="34" charset="-52"/>
              <a:ea typeface="Stem Text" panose="020B0503020203020204" pitchFamily="34" charset="-52"/>
            </a:rPr>
            <a:t>ПРАЙС-ЛИСТ</a:t>
          </a:r>
          <a:r>
            <a:rPr lang="en-US" sz="2400" b="1" baseline="0">
              <a:solidFill>
                <a:srgbClr val="0060A8"/>
              </a:solidFill>
              <a:latin typeface="Stem Text" panose="020B0503020203020204" pitchFamily="34" charset="-52"/>
              <a:ea typeface="Stem Text" panose="020B0503020203020204" pitchFamily="34" charset="-52"/>
            </a:rPr>
            <a:t> </a:t>
          </a:r>
          <a:r>
            <a:rPr lang="ru-RU" sz="2400" b="1" baseline="0">
              <a:solidFill>
                <a:srgbClr val="0060A8"/>
              </a:solidFill>
              <a:latin typeface="Stem Text" panose="020B0503020203020204" pitchFamily="34" charset="-52"/>
              <a:ea typeface="Stem Text" panose="020B0503020203020204" pitchFamily="34" charset="-52"/>
            </a:rPr>
            <a:t>2026</a:t>
          </a:r>
          <a:endParaRPr lang="ru-RU" sz="2400" b="1">
            <a:solidFill>
              <a:srgbClr val="0060A8"/>
            </a:solidFill>
            <a:latin typeface="Stem Text" panose="020B0503020203020204" pitchFamily="34" charset="-52"/>
            <a:ea typeface="Stem Text" panose="020B0503020203020204" pitchFamily="34" charset="-52"/>
          </a:endParaRPr>
        </a:p>
      </xdr:txBody>
    </xdr:sp>
    <xdr:clientData/>
  </xdr:oneCellAnchor>
  <xdr:twoCellAnchor editAs="oneCell">
    <xdr:from>
      <xdr:col>1</xdr:col>
      <xdr:colOff>460375</xdr:colOff>
      <xdr:row>0</xdr:row>
      <xdr:rowOff>15028</xdr:rowOff>
    </xdr:from>
    <xdr:to>
      <xdr:col>3</xdr:col>
      <xdr:colOff>704850</xdr:colOff>
      <xdr:row>1</xdr:row>
      <xdr:rowOff>35772</xdr:rowOff>
    </xdr:to>
    <xdr:pic>
      <xdr:nvPicPr>
        <xdr:cNvPr id="58" name="Рисунок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375" y="15028"/>
          <a:ext cx="2254250" cy="1325669"/>
        </a:xfrm>
        <a:prstGeom prst="rect">
          <a:avLst/>
        </a:prstGeom>
      </xdr:spPr>
    </xdr:pic>
    <xdr:clientData/>
  </xdr:twoCellAnchor>
  <xdr:twoCellAnchor>
    <xdr:from>
      <xdr:col>3</xdr:col>
      <xdr:colOff>2047875</xdr:colOff>
      <xdr:row>0</xdr:row>
      <xdr:rowOff>349250</xdr:rowOff>
    </xdr:from>
    <xdr:to>
      <xdr:col>14</xdr:col>
      <xdr:colOff>492125</xdr:colOff>
      <xdr:row>0</xdr:row>
      <xdr:rowOff>1063625</xdr:rowOff>
    </xdr:to>
    <xdr:sp macro="" textlink="">
      <xdr:nvSpPr>
        <xdr:cNvPr id="59" name="Скругленный прямоугольник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5562600" y="349250"/>
          <a:ext cx="12779375" cy="714375"/>
        </a:xfrm>
        <a:prstGeom prst="roundRect">
          <a:avLst/>
        </a:prstGeom>
        <a:solidFill>
          <a:schemeClr val="bg1">
            <a:alpha val="98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4</xdr:col>
      <xdr:colOff>697058</xdr:colOff>
      <xdr:row>0</xdr:row>
      <xdr:rowOff>444499</xdr:rowOff>
    </xdr:from>
    <xdr:to>
      <xdr:col>14</xdr:col>
      <xdr:colOff>268433</xdr:colOff>
      <xdr:row>0</xdr:row>
      <xdr:rowOff>936624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 txBox="1"/>
      </xdr:nvSpPr>
      <xdr:spPr>
        <a:xfrm>
          <a:off x="6421583" y="444499"/>
          <a:ext cx="11696700" cy="492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3000" b="1" i="0">
              <a:solidFill>
                <a:srgbClr val="0060A8"/>
              </a:solidFill>
              <a:latin typeface="Stem Text" panose="020B0503020203020204" pitchFamily="34" charset="-52"/>
              <a:ea typeface="Stem Text" panose="020B0503020203020204" pitchFamily="34" charset="-52"/>
            </a:rPr>
            <a:t>СИСТЕМЫ</a:t>
          </a:r>
          <a:r>
            <a:rPr lang="ru-RU" sz="3000" b="1" i="0" baseline="0">
              <a:solidFill>
                <a:srgbClr val="0060A8"/>
              </a:solidFill>
              <a:latin typeface="Stem Text" panose="020B0503020203020204" pitchFamily="34" charset="-52"/>
              <a:ea typeface="Stem Text" panose="020B0503020203020204" pitchFamily="34" charset="-52"/>
            </a:rPr>
            <a:t> КОНДИЦИОНИРОВАНИЯ </a:t>
          </a:r>
          <a:endParaRPr lang="ru-RU" sz="3000" b="1" i="0">
            <a:solidFill>
              <a:srgbClr val="0060A8"/>
            </a:solidFill>
            <a:latin typeface="Stem Text" panose="020B0503020203020204" pitchFamily="34" charset="-52"/>
            <a:ea typeface="Stem Text" panose="020B0503020203020204" pitchFamily="34" charset="-52"/>
          </a:endParaRPr>
        </a:p>
      </xdr:txBody>
    </xdr:sp>
    <xdr:clientData/>
  </xdr:twoCellAnchor>
  <xdr:twoCellAnchor>
    <xdr:from>
      <xdr:col>7</xdr:col>
      <xdr:colOff>764802</xdr:colOff>
      <xdr:row>14</xdr:row>
      <xdr:rowOff>1201831</xdr:rowOff>
    </xdr:from>
    <xdr:to>
      <xdr:col>8</xdr:col>
      <xdr:colOff>593913</xdr:colOff>
      <xdr:row>14</xdr:row>
      <xdr:rowOff>1972235</xdr:rowOff>
    </xdr:to>
    <xdr:grpSp>
      <xdr:nvGrpSpPr>
        <xdr:cNvPr id="66" name="Группа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GrpSpPr/>
      </xdr:nvGrpSpPr>
      <xdr:grpSpPr>
        <a:xfrm>
          <a:off x="8003802" y="8427224"/>
          <a:ext cx="740790" cy="770404"/>
          <a:chOff x="9803548" y="9303645"/>
          <a:chExt cx="1234023" cy="1286367"/>
        </a:xfrm>
      </xdr:grpSpPr>
      <xdr:sp macro="" textlink="">
        <xdr:nvSpPr>
          <xdr:cNvPr id="67" name="Скругленный прямоугольник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9803548" y="9303645"/>
            <a:ext cx="1234023" cy="1286367"/>
          </a:xfrm>
          <a:prstGeom prst="roundRect">
            <a:avLst/>
          </a:prstGeom>
          <a:gradFill flip="none" rotWithShape="1">
            <a:gsLst>
              <a:gs pos="0">
                <a:srgbClr val="4B93C9">
                  <a:shade val="30000"/>
                  <a:satMod val="115000"/>
                </a:srgbClr>
              </a:gs>
              <a:gs pos="50000">
                <a:srgbClr val="4B93C9">
                  <a:shade val="67500"/>
                  <a:satMod val="115000"/>
                </a:srgbClr>
              </a:gs>
              <a:gs pos="100000">
                <a:srgbClr val="4B93C9">
                  <a:shade val="100000"/>
                  <a:satMod val="115000"/>
                </a:srgbClr>
              </a:gs>
            </a:gsLst>
            <a:path path="circle">
              <a:fillToRect l="100000" t="100000"/>
            </a:path>
            <a:tileRect r="-100000" b="-100000"/>
          </a:gra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ru-RU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ru-RU"/>
          </a:p>
        </xdr:txBody>
      </xdr:sp>
      <xdr:sp macro="" textlink="">
        <xdr:nvSpPr>
          <xdr:cNvPr id="68" name="TextBox 2">
            <a:extLst>
              <a:ext uri="{FF2B5EF4-FFF2-40B4-BE49-F238E27FC236}">
                <a16:creationId xmlns:a16="http://schemas.microsoft.com/office/drawing/2014/main" id="{00000000-0008-0000-0000-000044000000}"/>
              </a:ext>
            </a:extLst>
          </xdr:cNvPr>
          <xdr:cNvSpPr txBox="1"/>
        </xdr:nvSpPr>
        <xdr:spPr>
          <a:xfrm>
            <a:off x="9973789" y="9623661"/>
            <a:ext cx="912429" cy="6161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ru-RU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800" b="1">
                <a:solidFill>
                  <a:schemeClr val="bg1"/>
                </a:solidFill>
              </a:rPr>
              <a:t>R32</a:t>
            </a:r>
            <a:endParaRPr lang="ru-RU" sz="1800" b="1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7</xdr:col>
      <xdr:colOff>728381</xdr:colOff>
      <xdr:row>14</xdr:row>
      <xdr:rowOff>291354</xdr:rowOff>
    </xdr:from>
    <xdr:to>
      <xdr:col>8</xdr:col>
      <xdr:colOff>573156</xdr:colOff>
      <xdr:row>14</xdr:row>
      <xdr:rowOff>1076161</xdr:rowOff>
    </xdr:to>
    <xdr:grpSp>
      <xdr:nvGrpSpPr>
        <xdr:cNvPr id="69" name="Группа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GrpSpPr/>
      </xdr:nvGrpSpPr>
      <xdr:grpSpPr>
        <a:xfrm>
          <a:off x="7967381" y="7516747"/>
          <a:ext cx="756454" cy="784807"/>
          <a:chOff x="9777559" y="9303645"/>
          <a:chExt cx="1269515" cy="1286367"/>
        </a:xfrm>
      </xdr:grpSpPr>
      <xdr:sp macro="" textlink="">
        <xdr:nvSpPr>
          <xdr:cNvPr id="70" name="Скругленный прямоугольник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9803548" y="9303645"/>
            <a:ext cx="1234023" cy="1286367"/>
          </a:xfrm>
          <a:prstGeom prst="roundRect">
            <a:avLst/>
          </a:prstGeom>
          <a:gradFill flip="none" rotWithShape="1">
            <a:gsLst>
              <a:gs pos="0">
                <a:srgbClr val="4B93C9">
                  <a:shade val="30000"/>
                  <a:satMod val="115000"/>
                </a:srgbClr>
              </a:gs>
              <a:gs pos="50000">
                <a:srgbClr val="4B93C9">
                  <a:shade val="67500"/>
                  <a:satMod val="115000"/>
                </a:srgbClr>
              </a:gs>
              <a:gs pos="100000">
                <a:srgbClr val="4B93C9">
                  <a:shade val="100000"/>
                  <a:satMod val="115000"/>
                </a:srgbClr>
              </a:gs>
            </a:gsLst>
            <a:path path="circle">
              <a:fillToRect l="100000" t="100000"/>
            </a:path>
            <a:tileRect r="-100000" b="-100000"/>
          </a:gra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ru-RU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ru-RU"/>
          </a:p>
        </xdr:txBody>
      </xdr:sp>
      <xdr:sp macro="" textlink="">
        <xdr:nvSpPr>
          <xdr:cNvPr id="71" name="TextBox 2">
            <a:extLst>
              <a:ext uri="{FF2B5EF4-FFF2-40B4-BE49-F238E27FC236}">
                <a16:creationId xmlns:a16="http://schemas.microsoft.com/office/drawing/2014/main" id="{00000000-0008-0000-0000-000047000000}"/>
              </a:ext>
            </a:extLst>
          </xdr:cNvPr>
          <xdr:cNvSpPr txBox="1"/>
        </xdr:nvSpPr>
        <xdr:spPr>
          <a:xfrm>
            <a:off x="9777559" y="9580354"/>
            <a:ext cx="1269515" cy="690555"/>
          </a:xfrm>
          <a:prstGeom prst="rect">
            <a:avLst/>
          </a:prstGeom>
          <a:noFill/>
        </xdr:spPr>
        <xdr:txBody>
          <a:bodyPr wrap="square" rtlCol="0" anchor="ctr">
            <a:spAutoFit/>
          </a:bodyPr>
          <a:lstStyle>
            <a:defPPr>
              <a:defRPr lang="ru-RU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600" b="1">
                <a:solidFill>
                  <a:schemeClr val="bg1"/>
                </a:solidFill>
              </a:rPr>
              <a:t>WI-FI</a:t>
            </a:r>
          </a:p>
          <a:p>
            <a:pPr algn="ctr"/>
            <a:r>
              <a:rPr lang="en-US" sz="1600" b="1">
                <a:solidFill>
                  <a:schemeClr val="bg1"/>
                </a:solidFill>
              </a:rPr>
              <a:t>ready</a:t>
            </a:r>
            <a:endParaRPr lang="ru-RU" sz="1600" b="1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7</xdr:col>
      <xdr:colOff>874059</xdr:colOff>
      <xdr:row>27</xdr:row>
      <xdr:rowOff>369794</xdr:rowOff>
    </xdr:from>
    <xdr:to>
      <xdr:col>8</xdr:col>
      <xdr:colOff>718834</xdr:colOff>
      <xdr:row>27</xdr:row>
      <xdr:rowOff>1154601</xdr:rowOff>
    </xdr:to>
    <xdr:grpSp>
      <xdr:nvGrpSpPr>
        <xdr:cNvPr id="72" name="Группа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GrpSpPr/>
      </xdr:nvGrpSpPr>
      <xdr:grpSpPr>
        <a:xfrm>
          <a:off x="8113059" y="12738687"/>
          <a:ext cx="756454" cy="784807"/>
          <a:chOff x="9777559" y="9303645"/>
          <a:chExt cx="1269515" cy="1286367"/>
        </a:xfrm>
      </xdr:grpSpPr>
      <xdr:sp macro="" textlink="">
        <xdr:nvSpPr>
          <xdr:cNvPr id="73" name="Скругленный прямоугольник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9803548" y="9303645"/>
            <a:ext cx="1234023" cy="1286367"/>
          </a:xfrm>
          <a:prstGeom prst="roundRect">
            <a:avLst/>
          </a:prstGeom>
          <a:gradFill flip="none" rotWithShape="1">
            <a:gsLst>
              <a:gs pos="0">
                <a:srgbClr val="4B93C9">
                  <a:shade val="30000"/>
                  <a:satMod val="115000"/>
                </a:srgbClr>
              </a:gs>
              <a:gs pos="50000">
                <a:srgbClr val="4B93C9">
                  <a:shade val="67500"/>
                  <a:satMod val="115000"/>
                </a:srgbClr>
              </a:gs>
              <a:gs pos="100000">
                <a:srgbClr val="4B93C9">
                  <a:shade val="100000"/>
                  <a:satMod val="115000"/>
                </a:srgbClr>
              </a:gs>
            </a:gsLst>
            <a:path path="circle">
              <a:fillToRect l="100000" t="100000"/>
            </a:path>
            <a:tileRect r="-100000" b="-100000"/>
          </a:gra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ru-RU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ru-RU"/>
          </a:p>
        </xdr:txBody>
      </xdr:sp>
      <xdr:sp macro="" textlink="">
        <xdr:nvSpPr>
          <xdr:cNvPr id="74" name="TextBox 2">
            <a:extLst>
              <a:ext uri="{FF2B5EF4-FFF2-40B4-BE49-F238E27FC236}">
                <a16:creationId xmlns:a16="http://schemas.microsoft.com/office/drawing/2014/main" id="{00000000-0008-0000-0000-00004A000000}"/>
              </a:ext>
            </a:extLst>
          </xdr:cNvPr>
          <xdr:cNvSpPr txBox="1"/>
        </xdr:nvSpPr>
        <xdr:spPr>
          <a:xfrm>
            <a:off x="9777559" y="9580354"/>
            <a:ext cx="1269515" cy="690555"/>
          </a:xfrm>
          <a:prstGeom prst="rect">
            <a:avLst/>
          </a:prstGeom>
          <a:noFill/>
        </xdr:spPr>
        <xdr:txBody>
          <a:bodyPr wrap="square" rtlCol="0" anchor="ctr">
            <a:spAutoFit/>
          </a:bodyPr>
          <a:lstStyle>
            <a:defPPr>
              <a:defRPr lang="ru-RU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600" b="1">
                <a:solidFill>
                  <a:schemeClr val="bg1"/>
                </a:solidFill>
              </a:rPr>
              <a:t>WI-FI</a:t>
            </a:r>
          </a:p>
          <a:p>
            <a:pPr algn="ctr"/>
            <a:r>
              <a:rPr lang="en-US" sz="1600" b="1">
                <a:solidFill>
                  <a:schemeClr val="bg1"/>
                </a:solidFill>
              </a:rPr>
              <a:t>ready</a:t>
            </a:r>
            <a:endParaRPr lang="ru-RU" sz="1600" b="1">
              <a:solidFill>
                <a:schemeClr val="bg1"/>
              </a:solidFill>
            </a:endParaRPr>
          </a:p>
        </xdr:txBody>
      </xdr:sp>
    </xdr:grpSp>
    <xdr:clientData/>
  </xdr:twoCellAnchor>
  <xdr:oneCellAnchor>
    <xdr:from>
      <xdr:col>4</xdr:col>
      <xdr:colOff>238125</xdr:colOff>
      <xdr:row>4</xdr:row>
      <xdr:rowOff>714375</xdr:rowOff>
    </xdr:from>
    <xdr:ext cx="544286" cy="1113741"/>
    <xdr:pic>
      <xdr:nvPicPr>
        <xdr:cNvPr id="53" name="Рисунок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505200" y="3152775"/>
          <a:ext cx="544286" cy="1113741"/>
        </a:xfrm>
        <a:prstGeom prst="rect">
          <a:avLst/>
        </a:prstGeom>
      </xdr:spPr>
    </xdr:pic>
    <xdr:clientData/>
  </xdr:oneCellAnchor>
  <xdr:twoCellAnchor>
    <xdr:from>
      <xdr:col>1</xdr:col>
      <xdr:colOff>27214</xdr:colOff>
      <xdr:row>37</xdr:row>
      <xdr:rowOff>40822</xdr:rowOff>
    </xdr:from>
    <xdr:to>
      <xdr:col>18</xdr:col>
      <xdr:colOff>13607</xdr:colOff>
      <xdr:row>53</xdr:row>
      <xdr:rowOff>13608</xdr:rowOff>
    </xdr:to>
    <xdr:pic>
      <xdr:nvPicPr>
        <xdr:cNvPr id="2" name="Picture 1047">
          <a:extLst>
            <a:ext uri="{FF2B5EF4-FFF2-40B4-BE49-F238E27FC236}">
              <a16:creationId xmlns:a16="http://schemas.microsoft.com/office/drawing/2014/main" id="{CEB4C898-D07C-4E68-9A9F-A6CB647280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27214" y="18845893"/>
          <a:ext cx="16505464" cy="2993572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44"/>
  <sheetViews>
    <sheetView tabSelected="1" view="pageBreakPreview" topLeftCell="B5" zoomScale="70" zoomScaleNormal="70" zoomScaleSheetLayoutView="70" workbookViewId="0">
      <selection activeCell="X36" sqref="X36"/>
    </sheetView>
  </sheetViews>
  <sheetFormatPr defaultRowHeight="15" outlineLevelCol="1"/>
  <cols>
    <col min="1" max="1" width="15.28515625" hidden="1" customWidth="1" outlineLevel="1"/>
    <col min="2" max="2" width="12.42578125" bestFit="1" customWidth="1" collapsed="1"/>
    <col min="3" max="3" width="17.7109375" customWidth="1"/>
    <col min="4" max="4" width="18.85546875" bestFit="1" customWidth="1"/>
    <col min="5" max="5" width="19" customWidth="1"/>
    <col min="6" max="6" width="19.42578125" customWidth="1"/>
    <col min="7" max="7" width="21.28515625" customWidth="1"/>
    <col min="8" max="8" width="13.5703125" customWidth="1"/>
    <col min="9" max="9" width="15.85546875" customWidth="1"/>
    <col min="10" max="10" width="17.5703125" customWidth="1"/>
    <col min="11" max="11" width="14.7109375" customWidth="1"/>
    <col min="12" max="14" width="10.85546875" style="12" customWidth="1" outlineLevel="1"/>
    <col min="15" max="18" width="11.140625" customWidth="1"/>
  </cols>
  <sheetData>
    <row r="1" spans="1:18" ht="102.75" customHeight="1">
      <c r="B1" s="19"/>
      <c r="C1" s="19"/>
      <c r="D1" s="19"/>
      <c r="E1" s="19"/>
      <c r="F1" s="19"/>
      <c r="G1" s="19"/>
      <c r="H1" s="19"/>
      <c r="I1" s="19"/>
      <c r="J1" s="19"/>
      <c r="K1" s="19"/>
      <c r="L1" s="20"/>
      <c r="M1" s="20"/>
      <c r="N1" s="20"/>
      <c r="O1" s="19"/>
      <c r="P1" s="19"/>
      <c r="Q1" s="19"/>
      <c r="R1" s="19"/>
    </row>
    <row r="2" spans="1:18" ht="30.75" customHeight="1">
      <c r="B2" s="21"/>
      <c r="C2" s="22"/>
      <c r="D2" s="22"/>
      <c r="E2" s="23"/>
      <c r="F2" s="23"/>
      <c r="G2" s="23"/>
      <c r="H2" s="23"/>
      <c r="I2" s="23"/>
      <c r="J2" s="23"/>
      <c r="K2" s="23"/>
      <c r="L2" s="24"/>
      <c r="M2" s="24"/>
      <c r="N2" s="24"/>
      <c r="O2" s="25"/>
      <c r="P2" s="25"/>
      <c r="Q2" s="25"/>
      <c r="R2" s="26"/>
    </row>
    <row r="3" spans="1:18" ht="30.75" customHeight="1" thickBot="1">
      <c r="B3" s="27"/>
      <c r="C3" s="28"/>
      <c r="D3" s="28"/>
      <c r="E3" s="29"/>
      <c r="F3" s="30"/>
      <c r="G3" s="30"/>
      <c r="H3" s="28"/>
      <c r="I3" s="28"/>
      <c r="J3" s="28"/>
      <c r="K3" s="28"/>
      <c r="L3" s="31"/>
      <c r="M3" s="31"/>
      <c r="N3" s="31"/>
      <c r="O3" s="32"/>
      <c r="P3" s="75" t="s">
        <v>66</v>
      </c>
      <c r="Q3" s="33"/>
      <c r="R3" s="34">
        <v>0</v>
      </c>
    </row>
    <row r="4" spans="1:18" ht="27.75" thickBot="1">
      <c r="B4" s="133" t="s">
        <v>37</v>
      </c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8"/>
      <c r="P4" s="18"/>
      <c r="Q4" s="18"/>
      <c r="R4" s="76">
        <v>46023</v>
      </c>
    </row>
    <row r="5" spans="1:18" ht="213" customHeight="1" thickBot="1">
      <c r="A5" s="16"/>
      <c r="B5" s="159"/>
      <c r="C5" s="160"/>
      <c r="D5" s="161"/>
      <c r="E5" s="162"/>
      <c r="F5" s="110"/>
      <c r="G5" s="110"/>
      <c r="H5" s="110"/>
      <c r="I5" s="111"/>
      <c r="J5" s="163" t="s">
        <v>82</v>
      </c>
      <c r="K5" s="164"/>
      <c r="L5" s="164"/>
      <c r="M5" s="164"/>
      <c r="N5" s="164"/>
      <c r="O5" s="164"/>
      <c r="P5" s="164"/>
      <c r="Q5" s="164"/>
      <c r="R5" s="165"/>
    </row>
    <row r="6" spans="1:18" ht="24">
      <c r="A6" s="15"/>
      <c r="B6" s="146" t="s">
        <v>32</v>
      </c>
      <c r="C6" s="126" t="s">
        <v>33</v>
      </c>
      <c r="D6" s="128" t="s">
        <v>0</v>
      </c>
      <c r="E6" s="166" t="s">
        <v>1</v>
      </c>
      <c r="F6" s="167"/>
      <c r="G6" s="153" t="s">
        <v>12</v>
      </c>
      <c r="H6" s="155" t="s">
        <v>2</v>
      </c>
      <c r="I6" s="155" t="s">
        <v>3</v>
      </c>
      <c r="J6" s="155"/>
      <c r="K6" s="157" t="s">
        <v>13</v>
      </c>
      <c r="L6" s="59" t="s">
        <v>19</v>
      </c>
      <c r="M6" s="60" t="s">
        <v>4</v>
      </c>
      <c r="N6" s="60" t="s">
        <v>35</v>
      </c>
      <c r="O6" s="61" t="s">
        <v>19</v>
      </c>
      <c r="P6" s="61" t="s">
        <v>4</v>
      </c>
      <c r="Q6" s="62" t="s">
        <v>35</v>
      </c>
      <c r="R6" s="63" t="s">
        <v>36</v>
      </c>
    </row>
    <row r="7" spans="1:18">
      <c r="A7" s="15"/>
      <c r="B7" s="147"/>
      <c r="C7" s="127"/>
      <c r="D7" s="129"/>
      <c r="E7" s="64" t="s">
        <v>5</v>
      </c>
      <c r="F7" s="65" t="s">
        <v>6</v>
      </c>
      <c r="G7" s="154"/>
      <c r="H7" s="156"/>
      <c r="I7" s="66" t="s">
        <v>10</v>
      </c>
      <c r="J7" s="66" t="s">
        <v>11</v>
      </c>
      <c r="K7" s="158"/>
      <c r="L7" s="67" t="s">
        <v>34</v>
      </c>
      <c r="M7" s="68" t="s">
        <v>34</v>
      </c>
      <c r="N7" s="68" t="s">
        <v>34</v>
      </c>
      <c r="O7" s="69" t="s">
        <v>7</v>
      </c>
      <c r="P7" s="70" t="s">
        <v>7</v>
      </c>
      <c r="Q7" s="70" t="s">
        <v>7</v>
      </c>
      <c r="R7" s="71" t="s">
        <v>7</v>
      </c>
    </row>
    <row r="8" spans="1:18" ht="15.75">
      <c r="A8" s="89" t="s">
        <v>109</v>
      </c>
      <c r="B8" s="50" t="s">
        <v>112</v>
      </c>
      <c r="C8" s="95" t="s">
        <v>89</v>
      </c>
      <c r="D8" s="72" t="s">
        <v>83</v>
      </c>
      <c r="E8" s="96" t="s">
        <v>92</v>
      </c>
      <c r="F8" s="96" t="s">
        <v>93</v>
      </c>
      <c r="G8" s="44" t="s">
        <v>98</v>
      </c>
      <c r="H8" s="97" t="s">
        <v>8</v>
      </c>
      <c r="I8" s="51" t="s">
        <v>14</v>
      </c>
      <c r="J8" s="51" t="s">
        <v>100</v>
      </c>
      <c r="K8" s="52" t="s">
        <v>103</v>
      </c>
      <c r="L8" s="45">
        <f>MROUND(O8*0.3,100)</f>
        <v>8400</v>
      </c>
      <c r="M8" s="45">
        <f t="shared" ref="M8" si="0">MROUND(P8*0.3,100)</f>
        <v>7100</v>
      </c>
      <c r="N8" s="45">
        <f>MROUND(Q8*0.3,100)</f>
        <v>5700</v>
      </c>
      <c r="O8" s="98">
        <v>28100</v>
      </c>
      <c r="P8" s="98">
        <v>23790</v>
      </c>
      <c r="Q8" s="98">
        <v>19000</v>
      </c>
      <c r="R8" s="101">
        <f>Q8*(1-1*$R$3)</f>
        <v>19000</v>
      </c>
    </row>
    <row r="9" spans="1:18" ht="15.75">
      <c r="A9" s="89"/>
      <c r="B9" s="50" t="s">
        <v>113</v>
      </c>
      <c r="C9" s="95"/>
      <c r="D9" s="72" t="s">
        <v>84</v>
      </c>
      <c r="E9" s="95"/>
      <c r="F9" s="95"/>
      <c r="G9" s="44">
        <v>52.5</v>
      </c>
      <c r="H9" s="97"/>
      <c r="I9" s="51" t="s">
        <v>101</v>
      </c>
      <c r="J9" s="51" t="s">
        <v>102</v>
      </c>
      <c r="K9" s="52" t="s">
        <v>104</v>
      </c>
      <c r="L9" s="45">
        <f>O8-L8</f>
        <v>19700</v>
      </c>
      <c r="M9" s="45">
        <f>P8-M8</f>
        <v>16690</v>
      </c>
      <c r="N9" s="45">
        <f t="shared" ref="N9" si="1">R8-N8</f>
        <v>13300</v>
      </c>
      <c r="O9" s="95"/>
      <c r="P9" s="95"/>
      <c r="Q9" s="95"/>
      <c r="R9" s="102"/>
    </row>
    <row r="10" spans="1:18" ht="15.75">
      <c r="A10" s="89" t="s">
        <v>107</v>
      </c>
      <c r="B10" s="53" t="s">
        <v>114</v>
      </c>
      <c r="C10" s="90" t="s">
        <v>90</v>
      </c>
      <c r="D10" s="73" t="s">
        <v>85</v>
      </c>
      <c r="E10" s="103" t="s">
        <v>94</v>
      </c>
      <c r="F10" s="103" t="s">
        <v>95</v>
      </c>
      <c r="G10" s="46" t="s">
        <v>98</v>
      </c>
      <c r="H10" s="104" t="s">
        <v>8</v>
      </c>
      <c r="I10" s="54" t="s">
        <v>14</v>
      </c>
      <c r="J10" s="54" t="s">
        <v>100</v>
      </c>
      <c r="K10" s="55" t="s">
        <v>103</v>
      </c>
      <c r="L10" s="47">
        <f t="shared" ref="L10" si="2">MROUND(O10*0.3,100)</f>
        <v>9200</v>
      </c>
      <c r="M10" s="47">
        <f>MROUND(P10*0.3,100)</f>
        <v>7800</v>
      </c>
      <c r="N10" s="47">
        <f>MROUND(Q10*0.3,100)</f>
        <v>6200</v>
      </c>
      <c r="O10" s="105">
        <v>30600</v>
      </c>
      <c r="P10" s="105">
        <v>25890</v>
      </c>
      <c r="Q10" s="105">
        <v>20600</v>
      </c>
      <c r="R10" s="93">
        <f t="shared" ref="R10" si="3">Q10*(1-1*$R$3)</f>
        <v>20600</v>
      </c>
    </row>
    <row r="11" spans="1:18" ht="15.75">
      <c r="A11" s="89"/>
      <c r="B11" s="53" t="s">
        <v>115</v>
      </c>
      <c r="C11" s="90"/>
      <c r="D11" s="73" t="s">
        <v>86</v>
      </c>
      <c r="E11" s="90"/>
      <c r="F11" s="90"/>
      <c r="G11" s="46">
        <v>52.5</v>
      </c>
      <c r="H11" s="104"/>
      <c r="I11" s="54" t="s">
        <v>101</v>
      </c>
      <c r="J11" s="54" t="s">
        <v>102</v>
      </c>
      <c r="K11" s="55" t="s">
        <v>104</v>
      </c>
      <c r="L11" s="47">
        <f t="shared" ref="L11:M11" si="4">O10-L10</f>
        <v>21400</v>
      </c>
      <c r="M11" s="47">
        <f t="shared" si="4"/>
        <v>18090</v>
      </c>
      <c r="N11" s="47">
        <f t="shared" ref="N11" si="5">R10-N10</f>
        <v>14400</v>
      </c>
      <c r="O11" s="90"/>
      <c r="P11" s="90"/>
      <c r="Q11" s="90"/>
      <c r="R11" s="94"/>
    </row>
    <row r="12" spans="1:18" ht="15.75">
      <c r="A12" s="89" t="s">
        <v>108</v>
      </c>
      <c r="B12" s="50" t="s">
        <v>116</v>
      </c>
      <c r="C12" s="95" t="s">
        <v>91</v>
      </c>
      <c r="D12" s="72" t="s">
        <v>87</v>
      </c>
      <c r="E12" s="96" t="s">
        <v>96</v>
      </c>
      <c r="F12" s="96" t="s">
        <v>97</v>
      </c>
      <c r="G12" s="44" t="s">
        <v>99</v>
      </c>
      <c r="H12" s="123" t="s">
        <v>8</v>
      </c>
      <c r="I12" s="51" t="s">
        <v>14</v>
      </c>
      <c r="J12" s="51" t="s">
        <v>100</v>
      </c>
      <c r="K12" s="52" t="s">
        <v>105</v>
      </c>
      <c r="L12" s="45">
        <f>MROUND(O12*0.3,100)</f>
        <v>11100</v>
      </c>
      <c r="M12" s="45">
        <f t="shared" ref="M12" si="6">MROUND(P12*0.3,100)</f>
        <v>9400</v>
      </c>
      <c r="N12" s="45">
        <f>MROUND(Q12*0.3,100)</f>
        <v>7500</v>
      </c>
      <c r="O12" s="98">
        <v>37000</v>
      </c>
      <c r="P12" s="98">
        <v>31390</v>
      </c>
      <c r="Q12" s="98">
        <v>25000</v>
      </c>
      <c r="R12" s="101">
        <f t="shared" ref="R12" si="7">Q12*(1-1*$R$3)</f>
        <v>25000</v>
      </c>
    </row>
    <row r="13" spans="1:18" ht="16.5" thickBot="1">
      <c r="A13" s="89"/>
      <c r="B13" s="56" t="s">
        <v>117</v>
      </c>
      <c r="C13" s="116"/>
      <c r="D13" s="74" t="s">
        <v>88</v>
      </c>
      <c r="E13" s="116"/>
      <c r="F13" s="116"/>
      <c r="G13" s="48">
        <v>56</v>
      </c>
      <c r="H13" s="124"/>
      <c r="I13" s="51" t="s">
        <v>101</v>
      </c>
      <c r="J13" s="57" t="s">
        <v>102</v>
      </c>
      <c r="K13" s="58" t="s">
        <v>106</v>
      </c>
      <c r="L13" s="49">
        <f>O12-L12</f>
        <v>25900</v>
      </c>
      <c r="M13" s="49">
        <f>P12-M12</f>
        <v>21990</v>
      </c>
      <c r="N13" s="49">
        <f t="shared" ref="N13" si="8">R12-N12</f>
        <v>17500</v>
      </c>
      <c r="O13" s="116"/>
      <c r="P13" s="116"/>
      <c r="Q13" s="116"/>
      <c r="R13" s="149"/>
    </row>
    <row r="14" spans="1:18" ht="27.75" thickBot="1">
      <c r="B14" s="133" t="s">
        <v>9</v>
      </c>
      <c r="C14" s="134"/>
      <c r="D14" s="134"/>
      <c r="E14" s="134"/>
      <c r="F14" s="134"/>
      <c r="G14" s="134"/>
      <c r="H14" s="134"/>
      <c r="I14" s="134"/>
      <c r="J14" s="134"/>
      <c r="K14" s="134"/>
      <c r="L14" s="134"/>
      <c r="M14" s="134"/>
      <c r="N14" s="134"/>
      <c r="O14" s="18"/>
      <c r="P14" s="18"/>
      <c r="Q14" s="18"/>
      <c r="R14" s="17"/>
    </row>
    <row r="15" spans="1:18" ht="203.25" customHeight="1" thickBot="1">
      <c r="B15" s="135"/>
      <c r="C15" s="136"/>
      <c r="D15" s="137"/>
      <c r="E15" s="148"/>
      <c r="F15" s="107"/>
      <c r="G15" s="107"/>
      <c r="H15" s="107"/>
      <c r="I15" s="108"/>
      <c r="J15" s="106"/>
      <c r="K15" s="107"/>
      <c r="L15" s="107"/>
      <c r="M15" s="107"/>
      <c r="N15" s="107"/>
      <c r="O15" s="107"/>
      <c r="P15" s="107"/>
      <c r="Q15" s="107"/>
      <c r="R15" s="108"/>
    </row>
    <row r="16" spans="1:18" ht="24">
      <c r="B16" s="146" t="s">
        <v>32</v>
      </c>
      <c r="C16" s="126" t="s">
        <v>33</v>
      </c>
      <c r="D16" s="128" t="s">
        <v>0</v>
      </c>
      <c r="E16" s="130" t="s">
        <v>1</v>
      </c>
      <c r="F16" s="130"/>
      <c r="G16" s="131" t="s">
        <v>12</v>
      </c>
      <c r="H16" s="112" t="s">
        <v>2</v>
      </c>
      <c r="I16" s="112" t="s">
        <v>3</v>
      </c>
      <c r="J16" s="112"/>
      <c r="K16" s="112" t="s">
        <v>13</v>
      </c>
      <c r="L16" s="77" t="s">
        <v>19</v>
      </c>
      <c r="M16" s="77" t="s">
        <v>4</v>
      </c>
      <c r="N16" s="77" t="s">
        <v>35</v>
      </c>
      <c r="O16" s="78" t="s">
        <v>19</v>
      </c>
      <c r="P16" s="78" t="s">
        <v>4</v>
      </c>
      <c r="Q16" s="79" t="s">
        <v>35</v>
      </c>
      <c r="R16" s="80" t="s">
        <v>36</v>
      </c>
    </row>
    <row r="17" spans="1:19" ht="17.25" customHeight="1">
      <c r="B17" s="147"/>
      <c r="C17" s="127"/>
      <c r="D17" s="129"/>
      <c r="E17" s="81" t="s">
        <v>5</v>
      </c>
      <c r="F17" s="81" t="s">
        <v>6</v>
      </c>
      <c r="G17" s="132"/>
      <c r="H17" s="113"/>
      <c r="I17" s="82" t="s">
        <v>10</v>
      </c>
      <c r="J17" s="82" t="s">
        <v>11</v>
      </c>
      <c r="K17" s="113"/>
      <c r="L17" s="68" t="s">
        <v>34</v>
      </c>
      <c r="M17" s="68" t="s">
        <v>34</v>
      </c>
      <c r="N17" s="68" t="s">
        <v>34</v>
      </c>
      <c r="O17" s="83" t="s">
        <v>7</v>
      </c>
      <c r="P17" s="83" t="s">
        <v>7</v>
      </c>
      <c r="Q17" s="83" t="s">
        <v>7</v>
      </c>
      <c r="R17" s="84" t="s">
        <v>7</v>
      </c>
    </row>
    <row r="18" spans="1:19" ht="15.75">
      <c r="A18" s="89" t="s">
        <v>118</v>
      </c>
      <c r="B18" s="50" t="s">
        <v>120</v>
      </c>
      <c r="C18" s="95" t="s">
        <v>119</v>
      </c>
      <c r="D18" s="72" t="s">
        <v>121</v>
      </c>
      <c r="E18" s="96">
        <v>2.37</v>
      </c>
      <c r="F18" s="96">
        <v>2.48</v>
      </c>
      <c r="G18" s="44" t="s">
        <v>130</v>
      </c>
      <c r="H18" s="97" t="s">
        <v>131</v>
      </c>
      <c r="I18" s="51" t="s">
        <v>132</v>
      </c>
      <c r="J18" s="51" t="s">
        <v>134</v>
      </c>
      <c r="K18" s="52" t="s">
        <v>136</v>
      </c>
      <c r="L18" s="45">
        <f t="shared" ref="L18" si="9">MROUND(O18*0.3,100)</f>
        <v>6400</v>
      </c>
      <c r="M18" s="45">
        <f t="shared" ref="M18" si="10">MROUND(P18*0.3,100)</f>
        <v>5400</v>
      </c>
      <c r="N18" s="45">
        <f>MROUND(Q18*0.3,100)</f>
        <v>4300</v>
      </c>
      <c r="O18" s="98">
        <v>21200</v>
      </c>
      <c r="P18" s="98">
        <v>17990</v>
      </c>
      <c r="Q18" s="99">
        <v>14400</v>
      </c>
      <c r="R18" s="101">
        <f>Q18*(1-1*$R$3)</f>
        <v>14400</v>
      </c>
    </row>
    <row r="19" spans="1:19" ht="15.75">
      <c r="A19" s="89"/>
      <c r="B19" s="50" t="s">
        <v>122</v>
      </c>
      <c r="C19" s="95"/>
      <c r="D19" s="72" t="s">
        <v>123</v>
      </c>
      <c r="E19" s="95"/>
      <c r="F19" s="95"/>
      <c r="G19" s="44">
        <v>52</v>
      </c>
      <c r="H19" s="97"/>
      <c r="I19" s="51" t="s">
        <v>133</v>
      </c>
      <c r="J19" s="51" t="s">
        <v>135</v>
      </c>
      <c r="K19" s="52" t="s">
        <v>137</v>
      </c>
      <c r="L19" s="45">
        <f t="shared" ref="L19" si="11">O18-L18</f>
        <v>14800</v>
      </c>
      <c r="M19" s="45">
        <f t="shared" ref="M19" si="12">P18-M18</f>
        <v>12590</v>
      </c>
      <c r="N19" s="45">
        <f t="shared" ref="N19" si="13">R18-N18</f>
        <v>10100</v>
      </c>
      <c r="O19" s="95"/>
      <c r="P19" s="95"/>
      <c r="Q19" s="125"/>
      <c r="R19" s="102"/>
    </row>
    <row r="20" spans="1:19" ht="15.75">
      <c r="A20" s="89" t="s">
        <v>124</v>
      </c>
      <c r="B20" s="53" t="s">
        <v>125</v>
      </c>
      <c r="C20" s="90" t="s">
        <v>129</v>
      </c>
      <c r="D20" s="73" t="s">
        <v>128</v>
      </c>
      <c r="E20" s="103">
        <v>2.65</v>
      </c>
      <c r="F20" s="103">
        <v>2.7</v>
      </c>
      <c r="G20" s="46" t="s">
        <v>138</v>
      </c>
      <c r="H20" s="104" t="s">
        <v>131</v>
      </c>
      <c r="I20" s="54" t="s">
        <v>132</v>
      </c>
      <c r="J20" s="54" t="s">
        <v>134</v>
      </c>
      <c r="K20" s="55" t="s">
        <v>136</v>
      </c>
      <c r="L20" s="47">
        <f t="shared" ref="L20" si="14">MROUND(O20*0.3,100)</f>
        <v>6900</v>
      </c>
      <c r="M20" s="47">
        <f t="shared" ref="M20" si="15">MROUND(P20*0.3,100)</f>
        <v>5800</v>
      </c>
      <c r="N20" s="47">
        <f>MROUND(Q20*0.3,100)</f>
        <v>4700</v>
      </c>
      <c r="O20" s="105">
        <v>23000</v>
      </c>
      <c r="P20" s="105">
        <v>19490</v>
      </c>
      <c r="Q20" s="91">
        <v>15500</v>
      </c>
      <c r="R20" s="93">
        <f t="shared" ref="R20" si="16">Q20*(1-1*$R$3)</f>
        <v>15500</v>
      </c>
    </row>
    <row r="21" spans="1:19" ht="15.75">
      <c r="A21" s="89"/>
      <c r="B21" s="53" t="s">
        <v>126</v>
      </c>
      <c r="C21" s="90"/>
      <c r="D21" s="73" t="s">
        <v>127</v>
      </c>
      <c r="E21" s="90"/>
      <c r="F21" s="90"/>
      <c r="G21" s="46">
        <v>53.5</v>
      </c>
      <c r="H21" s="104"/>
      <c r="I21" s="54" t="s">
        <v>139</v>
      </c>
      <c r="J21" s="54" t="s">
        <v>140</v>
      </c>
      <c r="K21" s="55" t="s">
        <v>141</v>
      </c>
      <c r="L21" s="47">
        <f t="shared" ref="L21" si="17">O20-L20</f>
        <v>16100</v>
      </c>
      <c r="M21" s="47">
        <f t="shared" ref="M21" si="18">P20-M20</f>
        <v>13690</v>
      </c>
      <c r="N21" s="47">
        <f t="shared" ref="N21" si="19">R20-N20</f>
        <v>10800</v>
      </c>
      <c r="O21" s="90"/>
      <c r="P21" s="90"/>
      <c r="Q21" s="92"/>
      <c r="R21" s="94"/>
    </row>
    <row r="22" spans="1:19" ht="15.75">
      <c r="A22" s="89" t="s">
        <v>69</v>
      </c>
      <c r="B22" s="50" t="s">
        <v>76</v>
      </c>
      <c r="C22" s="95" t="s">
        <v>40</v>
      </c>
      <c r="D22" s="72" t="s">
        <v>47</v>
      </c>
      <c r="E22" s="96">
        <v>3.52</v>
      </c>
      <c r="F22" s="96">
        <v>3.66</v>
      </c>
      <c r="G22" s="44" t="s">
        <v>57</v>
      </c>
      <c r="H22" s="97" t="s">
        <v>8</v>
      </c>
      <c r="I22" s="51" t="s">
        <v>16</v>
      </c>
      <c r="J22" s="51" t="s">
        <v>26</v>
      </c>
      <c r="K22" s="52" t="s">
        <v>58</v>
      </c>
      <c r="L22" s="45">
        <f t="shared" ref="L22" si="20">MROUND(O22*0.3,100)</f>
        <v>9300</v>
      </c>
      <c r="M22" s="45">
        <f t="shared" ref="M22" si="21">MROUND(P22*0.3,100)</f>
        <v>7900</v>
      </c>
      <c r="N22" s="45">
        <f>MROUND(Q22*0.3,100)</f>
        <v>6300</v>
      </c>
      <c r="O22" s="98">
        <v>30900</v>
      </c>
      <c r="P22" s="98">
        <v>26190</v>
      </c>
      <c r="Q22" s="99">
        <v>20900</v>
      </c>
      <c r="R22" s="101">
        <f t="shared" ref="R22" si="22">Q22*(1-1*$R$3)</f>
        <v>20900</v>
      </c>
    </row>
    <row r="23" spans="1:19" ht="15.75">
      <c r="A23" s="89"/>
      <c r="B23" s="50" t="s">
        <v>77</v>
      </c>
      <c r="C23" s="95"/>
      <c r="D23" s="72" t="s">
        <v>48</v>
      </c>
      <c r="E23" s="95"/>
      <c r="F23" s="95"/>
      <c r="G23" s="44">
        <v>55.5</v>
      </c>
      <c r="H23" s="97"/>
      <c r="I23" s="51" t="s">
        <v>15</v>
      </c>
      <c r="J23" s="51" t="s">
        <v>29</v>
      </c>
      <c r="K23" s="52" t="s">
        <v>59</v>
      </c>
      <c r="L23" s="45">
        <f t="shared" ref="L23" si="23">O22-L22</f>
        <v>21600</v>
      </c>
      <c r="M23" s="45">
        <f t="shared" ref="M23" si="24">P22-M22</f>
        <v>18290</v>
      </c>
      <c r="N23" s="45">
        <f t="shared" ref="N23" si="25">R22-N22</f>
        <v>14600</v>
      </c>
      <c r="O23" s="95"/>
      <c r="P23" s="95"/>
      <c r="Q23" s="125"/>
      <c r="R23" s="102"/>
    </row>
    <row r="24" spans="1:19" ht="15.75">
      <c r="A24" s="89" t="s">
        <v>70</v>
      </c>
      <c r="B24" s="53" t="s">
        <v>78</v>
      </c>
      <c r="C24" s="90" t="s">
        <v>41</v>
      </c>
      <c r="D24" s="73" t="s">
        <v>49</v>
      </c>
      <c r="E24" s="103">
        <v>5.28</v>
      </c>
      <c r="F24" s="103">
        <v>5.57</v>
      </c>
      <c r="G24" s="46" t="s">
        <v>60</v>
      </c>
      <c r="H24" s="104" t="s">
        <v>8</v>
      </c>
      <c r="I24" s="54" t="s">
        <v>17</v>
      </c>
      <c r="J24" s="54" t="s">
        <v>27</v>
      </c>
      <c r="K24" s="55" t="s">
        <v>30</v>
      </c>
      <c r="L24" s="47">
        <f t="shared" ref="L24" si="26">MROUND(O24*0.3,100)</f>
        <v>15400</v>
      </c>
      <c r="M24" s="47">
        <f t="shared" ref="M24" si="27">MROUND(P24*0.3,100)</f>
        <v>13000</v>
      </c>
      <c r="N24" s="47">
        <f>MROUND(Q24*0.3,100)</f>
        <v>10400</v>
      </c>
      <c r="O24" s="105">
        <v>51200</v>
      </c>
      <c r="P24" s="105">
        <v>43390</v>
      </c>
      <c r="Q24" s="91">
        <v>34500</v>
      </c>
      <c r="R24" s="93">
        <f t="shared" ref="R24" si="28">Q24*(1-1*$R$3)</f>
        <v>34500</v>
      </c>
    </row>
    <row r="25" spans="1:19" ht="15.75">
      <c r="A25" s="89"/>
      <c r="B25" s="53" t="s">
        <v>79</v>
      </c>
      <c r="C25" s="90"/>
      <c r="D25" s="73" t="s">
        <v>50</v>
      </c>
      <c r="E25" s="90"/>
      <c r="F25" s="90"/>
      <c r="G25" s="46" t="s">
        <v>61</v>
      </c>
      <c r="H25" s="104"/>
      <c r="I25" s="54" t="s">
        <v>21</v>
      </c>
      <c r="J25" s="54" t="s">
        <v>23</v>
      </c>
      <c r="K25" s="55" t="s">
        <v>62</v>
      </c>
      <c r="L25" s="47">
        <f t="shared" ref="L25" si="29">O24-L24</f>
        <v>35800</v>
      </c>
      <c r="M25" s="47">
        <f t="shared" ref="M25" si="30">P24-M24</f>
        <v>30390</v>
      </c>
      <c r="N25" s="47">
        <f t="shared" ref="N25" si="31">R24-N24</f>
        <v>24100</v>
      </c>
      <c r="O25" s="90"/>
      <c r="P25" s="90"/>
      <c r="Q25" s="92"/>
      <c r="R25" s="94"/>
    </row>
    <row r="26" spans="1:19" ht="15.75">
      <c r="A26" s="89" t="s">
        <v>71</v>
      </c>
      <c r="B26" s="50" t="s">
        <v>80</v>
      </c>
      <c r="C26" s="95" t="s">
        <v>42</v>
      </c>
      <c r="D26" s="72" t="s">
        <v>51</v>
      </c>
      <c r="E26" s="96">
        <v>7.05</v>
      </c>
      <c r="F26" s="96">
        <v>7.1</v>
      </c>
      <c r="G26" s="44" t="s">
        <v>63</v>
      </c>
      <c r="H26" s="97" t="s">
        <v>8</v>
      </c>
      <c r="I26" s="51" t="s">
        <v>18</v>
      </c>
      <c r="J26" s="51" t="s">
        <v>28</v>
      </c>
      <c r="K26" s="52" t="s">
        <v>64</v>
      </c>
      <c r="L26" s="45">
        <f t="shared" ref="L26" si="32">MROUND(O26*0.3,100)</f>
        <v>19900</v>
      </c>
      <c r="M26" s="45">
        <f t="shared" ref="M26" si="33">MROUND(P26*0.3,100)</f>
        <v>16900</v>
      </c>
      <c r="N26" s="45">
        <f>MROUND(Q26*0.3,100)</f>
        <v>13400</v>
      </c>
      <c r="O26" s="98">
        <v>66400</v>
      </c>
      <c r="P26" s="98">
        <v>56290</v>
      </c>
      <c r="Q26" s="99">
        <v>44800</v>
      </c>
      <c r="R26" s="101">
        <f t="shared" ref="R26" si="34">Q26*(1-1*$R$3)</f>
        <v>44800</v>
      </c>
    </row>
    <row r="27" spans="1:19" ht="16.5" thickBot="1">
      <c r="A27" s="89"/>
      <c r="B27" s="50" t="s">
        <v>81</v>
      </c>
      <c r="C27" s="95"/>
      <c r="D27" s="72" t="s">
        <v>52</v>
      </c>
      <c r="E27" s="95"/>
      <c r="F27" s="95"/>
      <c r="G27" s="44">
        <v>60.5</v>
      </c>
      <c r="H27" s="97"/>
      <c r="I27" s="51" t="s">
        <v>22</v>
      </c>
      <c r="J27" s="51" t="s">
        <v>24</v>
      </c>
      <c r="K27" s="52" t="s">
        <v>65</v>
      </c>
      <c r="L27" s="45">
        <f t="shared" ref="L27" si="35">O26-L26</f>
        <v>46500</v>
      </c>
      <c r="M27" s="45">
        <f t="shared" ref="M27" si="36">P26-M26</f>
        <v>39390</v>
      </c>
      <c r="N27" s="45">
        <f t="shared" ref="N27" si="37">R26-N26</f>
        <v>31400</v>
      </c>
      <c r="O27" s="95"/>
      <c r="P27" s="95"/>
      <c r="Q27" s="100"/>
      <c r="R27" s="102"/>
    </row>
    <row r="28" spans="1:19" ht="195.75" customHeight="1" thickBot="1">
      <c r="B28" s="135"/>
      <c r="C28" s="136"/>
      <c r="D28" s="137"/>
      <c r="E28" s="35"/>
      <c r="F28" s="36"/>
      <c r="G28" s="36"/>
      <c r="H28" s="36"/>
      <c r="I28" s="37"/>
      <c r="J28" s="38"/>
      <c r="K28" s="38"/>
      <c r="L28" s="39"/>
      <c r="M28" s="39"/>
      <c r="N28" s="39"/>
      <c r="O28" s="38"/>
      <c r="P28" s="38"/>
      <c r="Q28" s="38"/>
      <c r="R28" s="40"/>
    </row>
    <row r="29" spans="1:19" ht="31.5" customHeight="1">
      <c r="A29" s="9"/>
      <c r="B29" s="138" t="s">
        <v>32</v>
      </c>
      <c r="C29" s="140" t="s">
        <v>33</v>
      </c>
      <c r="D29" s="142" t="s">
        <v>0</v>
      </c>
      <c r="E29" s="117" t="s">
        <v>1</v>
      </c>
      <c r="F29" s="118"/>
      <c r="G29" s="119" t="s">
        <v>12</v>
      </c>
      <c r="H29" s="121" t="s">
        <v>2</v>
      </c>
      <c r="I29" s="144" t="s">
        <v>3</v>
      </c>
      <c r="J29" s="145"/>
      <c r="K29" s="121" t="s">
        <v>13</v>
      </c>
      <c r="L29" s="77" t="s">
        <v>19</v>
      </c>
      <c r="M29" s="77" t="s">
        <v>4</v>
      </c>
      <c r="N29" s="77" t="s">
        <v>35</v>
      </c>
      <c r="O29" s="78" t="s">
        <v>19</v>
      </c>
      <c r="P29" s="78" t="s">
        <v>4</v>
      </c>
      <c r="Q29" s="79" t="s">
        <v>35</v>
      </c>
      <c r="R29" s="80" t="s">
        <v>36</v>
      </c>
    </row>
    <row r="30" spans="1:19">
      <c r="A30" s="10"/>
      <c r="B30" s="139"/>
      <c r="C30" s="141"/>
      <c r="D30" s="143"/>
      <c r="E30" s="81" t="s">
        <v>5</v>
      </c>
      <c r="F30" s="81" t="s">
        <v>6</v>
      </c>
      <c r="G30" s="120"/>
      <c r="H30" s="122"/>
      <c r="I30" s="82" t="s">
        <v>10</v>
      </c>
      <c r="J30" s="82" t="s">
        <v>11</v>
      </c>
      <c r="K30" s="122"/>
      <c r="L30" s="68" t="s">
        <v>34</v>
      </c>
      <c r="M30" s="68" t="s">
        <v>34</v>
      </c>
      <c r="N30" s="68" t="s">
        <v>34</v>
      </c>
      <c r="O30" s="83" t="s">
        <v>7</v>
      </c>
      <c r="P30" s="83" t="s">
        <v>7</v>
      </c>
      <c r="Q30" s="83" t="s">
        <v>7</v>
      </c>
      <c r="R30" s="84" t="s">
        <v>7</v>
      </c>
    </row>
    <row r="31" spans="1:19" ht="15.75">
      <c r="A31" s="89" t="s">
        <v>67</v>
      </c>
      <c r="B31" s="50" t="s">
        <v>72</v>
      </c>
      <c r="C31" s="95" t="s">
        <v>38</v>
      </c>
      <c r="D31" s="72" t="s">
        <v>43</v>
      </c>
      <c r="E31" s="96">
        <v>2.23</v>
      </c>
      <c r="F31" s="96">
        <v>2.4</v>
      </c>
      <c r="G31" s="44" t="s">
        <v>20</v>
      </c>
      <c r="H31" s="97" t="s">
        <v>8</v>
      </c>
      <c r="I31" s="51" t="s">
        <v>14</v>
      </c>
      <c r="J31" s="51" t="s">
        <v>25</v>
      </c>
      <c r="K31" s="52" t="s">
        <v>53</v>
      </c>
      <c r="L31" s="45">
        <f>MROUND(O31*0.3,100)</f>
        <v>5300</v>
      </c>
      <c r="M31" s="45">
        <f>MROUND(P31*0.3,100)</f>
        <v>4500</v>
      </c>
      <c r="N31" s="45">
        <f>MROUND(Q31*0.3,100)</f>
        <v>3600</v>
      </c>
      <c r="O31" s="98">
        <v>17700</v>
      </c>
      <c r="P31" s="98">
        <v>14990</v>
      </c>
      <c r="Q31" s="114">
        <v>11900</v>
      </c>
      <c r="R31" s="101">
        <f>Q31</f>
        <v>11900</v>
      </c>
      <c r="S31" s="88" t="s">
        <v>143</v>
      </c>
    </row>
    <row r="32" spans="1:19" ht="15.75">
      <c r="A32" s="89"/>
      <c r="B32" s="50" t="s">
        <v>73</v>
      </c>
      <c r="C32" s="95"/>
      <c r="D32" s="72" t="s">
        <v>44</v>
      </c>
      <c r="E32" s="95"/>
      <c r="F32" s="95"/>
      <c r="G32" s="44">
        <v>54</v>
      </c>
      <c r="H32" s="97"/>
      <c r="I32" s="51" t="s">
        <v>15</v>
      </c>
      <c r="J32" s="51" t="s">
        <v>29</v>
      </c>
      <c r="K32" s="52" t="s">
        <v>31</v>
      </c>
      <c r="L32" s="45">
        <f>O31-L31</f>
        <v>12400</v>
      </c>
      <c r="M32" s="45">
        <f>P31-M31</f>
        <v>10490</v>
      </c>
      <c r="N32" s="45">
        <f t="shared" ref="N32" si="38">R31-N31</f>
        <v>8300</v>
      </c>
      <c r="O32" s="95"/>
      <c r="P32" s="95"/>
      <c r="Q32" s="115"/>
      <c r="R32" s="102"/>
      <c r="S32" s="88"/>
    </row>
    <row r="33" spans="1:19" ht="15.75">
      <c r="A33" s="89" t="s">
        <v>68</v>
      </c>
      <c r="B33" s="53" t="s">
        <v>74</v>
      </c>
      <c r="C33" s="90" t="s">
        <v>39</v>
      </c>
      <c r="D33" s="73" t="s">
        <v>45</v>
      </c>
      <c r="E33" s="103">
        <v>2.5</v>
      </c>
      <c r="F33" s="103">
        <v>2.5499999999999998</v>
      </c>
      <c r="G33" s="46" t="s">
        <v>54</v>
      </c>
      <c r="H33" s="104" t="s">
        <v>8</v>
      </c>
      <c r="I33" s="54" t="s">
        <v>14</v>
      </c>
      <c r="J33" s="54" t="s">
        <v>25</v>
      </c>
      <c r="K33" s="55" t="s">
        <v>55</v>
      </c>
      <c r="L33" s="47">
        <f t="shared" ref="L33:M33" si="39">MROUND(O33*0.3,100)</f>
        <v>5700</v>
      </c>
      <c r="M33" s="47">
        <f t="shared" si="39"/>
        <v>4800</v>
      </c>
      <c r="N33" s="47">
        <f>MROUND(Q33*0.3,100)</f>
        <v>3800</v>
      </c>
      <c r="O33" s="105">
        <v>18900</v>
      </c>
      <c r="P33" s="105">
        <v>15990</v>
      </c>
      <c r="Q33" s="114">
        <v>12800</v>
      </c>
      <c r="R33" s="93">
        <f>Q33</f>
        <v>12800</v>
      </c>
      <c r="S33" s="88" t="s">
        <v>143</v>
      </c>
    </row>
    <row r="34" spans="1:19" ht="16.5" thickBot="1">
      <c r="A34" s="89"/>
      <c r="B34" s="53" t="s">
        <v>75</v>
      </c>
      <c r="C34" s="90"/>
      <c r="D34" s="73" t="s">
        <v>46</v>
      </c>
      <c r="E34" s="90"/>
      <c r="F34" s="90"/>
      <c r="G34" s="46">
        <v>52.5</v>
      </c>
      <c r="H34" s="104"/>
      <c r="I34" s="54" t="s">
        <v>15</v>
      </c>
      <c r="J34" s="54" t="s">
        <v>29</v>
      </c>
      <c r="K34" s="55" t="s">
        <v>56</v>
      </c>
      <c r="L34" s="47">
        <f t="shared" ref="L34:M34" si="40">O33-L33</f>
        <v>13200</v>
      </c>
      <c r="M34" s="47">
        <f t="shared" si="40"/>
        <v>11190</v>
      </c>
      <c r="N34" s="47">
        <f t="shared" ref="N34" si="41">R33-N33</f>
        <v>9000</v>
      </c>
      <c r="O34" s="90"/>
      <c r="P34" s="90"/>
      <c r="Q34" s="115"/>
      <c r="R34" s="94"/>
      <c r="S34" s="88"/>
    </row>
    <row r="35" spans="1:19" ht="57.75" customHeight="1" thickBot="1">
      <c r="A35" s="11"/>
      <c r="B35" s="133" t="s">
        <v>142</v>
      </c>
      <c r="C35" s="134"/>
      <c r="D35" s="134"/>
      <c r="E35" s="134"/>
      <c r="F35" s="134"/>
      <c r="G35" s="134"/>
      <c r="H35" s="134"/>
      <c r="I35" s="134"/>
      <c r="J35" s="134"/>
      <c r="K35" s="134"/>
      <c r="L35" s="134"/>
      <c r="M35" s="134"/>
      <c r="N35" s="134"/>
      <c r="O35" s="41"/>
      <c r="P35" s="41"/>
      <c r="Q35" s="41"/>
      <c r="R35" s="42"/>
    </row>
    <row r="36" spans="1:19" ht="126" customHeight="1" thickBot="1">
      <c r="A36" s="11"/>
      <c r="B36" s="109"/>
      <c r="C36" s="110"/>
      <c r="D36" s="111"/>
      <c r="E36" s="109"/>
      <c r="F36" s="110"/>
      <c r="G36" s="110"/>
      <c r="H36" s="111"/>
      <c r="I36" s="109"/>
      <c r="J36" s="110"/>
      <c r="K36" s="110"/>
      <c r="L36" s="110"/>
      <c r="M36" s="110"/>
      <c r="N36" s="110"/>
      <c r="O36" s="110"/>
      <c r="P36" s="110"/>
      <c r="Q36" s="110"/>
      <c r="R36" s="111"/>
    </row>
    <row r="37" spans="1:19" ht="15.75">
      <c r="A37" s="11"/>
      <c r="B37" s="85" t="s">
        <v>111</v>
      </c>
      <c r="C37" s="86" t="s">
        <v>110</v>
      </c>
      <c r="D37" s="86" t="s">
        <v>110</v>
      </c>
      <c r="E37" s="150"/>
      <c r="F37" s="151"/>
      <c r="G37" s="151"/>
      <c r="H37" s="151"/>
      <c r="I37" s="151"/>
      <c r="J37" s="151"/>
      <c r="K37" s="152"/>
      <c r="L37" s="43"/>
      <c r="M37" s="43"/>
      <c r="N37" s="43"/>
      <c r="O37" s="45">
        <v>2700</v>
      </c>
      <c r="P37" s="45">
        <v>2390</v>
      </c>
      <c r="Q37" s="45">
        <v>1900</v>
      </c>
      <c r="R37" s="87">
        <f>Q37*(1-1*R1)</f>
        <v>1900</v>
      </c>
    </row>
    <row r="38" spans="1:19" ht="16.5" customHeight="1">
      <c r="B38" s="4"/>
      <c r="C38" s="1"/>
      <c r="D38" s="1"/>
      <c r="E38" s="1"/>
      <c r="F38" s="1"/>
      <c r="G38" s="2"/>
      <c r="H38" s="1"/>
      <c r="I38" s="1"/>
      <c r="J38" s="2"/>
      <c r="K38" s="1"/>
      <c r="L38" s="13"/>
      <c r="M38" s="13"/>
      <c r="N38" s="13"/>
      <c r="O38" s="1"/>
      <c r="P38" s="1"/>
      <c r="Q38" s="1"/>
      <c r="R38" s="5"/>
    </row>
    <row r="39" spans="1:19" ht="16.5" customHeight="1">
      <c r="B39" s="4"/>
      <c r="C39" s="1"/>
      <c r="D39" s="1"/>
      <c r="E39" s="1"/>
      <c r="F39" s="1"/>
      <c r="G39" s="3"/>
      <c r="H39" s="1"/>
      <c r="I39" s="1"/>
      <c r="J39" s="3"/>
      <c r="K39" s="1"/>
      <c r="L39" s="13"/>
      <c r="M39" s="13"/>
      <c r="N39" s="13"/>
      <c r="O39" s="1"/>
      <c r="P39" s="1"/>
      <c r="Q39" s="1"/>
      <c r="R39" s="5"/>
    </row>
    <row r="40" spans="1:19">
      <c r="B40" s="4"/>
      <c r="C40" s="1"/>
      <c r="D40" s="1"/>
      <c r="E40" s="1"/>
      <c r="F40" s="2"/>
      <c r="G40" s="1"/>
      <c r="H40" s="1"/>
      <c r="I40" s="2"/>
      <c r="J40" s="1"/>
      <c r="K40" s="1"/>
      <c r="L40" s="13"/>
      <c r="M40" s="13"/>
      <c r="N40" s="13"/>
      <c r="O40" s="1"/>
      <c r="P40" s="1"/>
      <c r="Q40" s="1"/>
      <c r="R40" s="5"/>
    </row>
    <row r="41" spans="1:19">
      <c r="B41" s="4"/>
      <c r="C41" s="1"/>
      <c r="D41" s="1"/>
      <c r="E41" s="1"/>
      <c r="F41" s="3"/>
      <c r="G41" s="1"/>
      <c r="H41" s="3"/>
      <c r="I41" s="1"/>
      <c r="J41" s="3"/>
      <c r="K41" s="1"/>
      <c r="L41" s="13"/>
      <c r="M41" s="13"/>
      <c r="N41" s="13"/>
      <c r="O41" s="1"/>
      <c r="P41" s="1"/>
      <c r="Q41" s="1"/>
      <c r="R41" s="5"/>
    </row>
    <row r="42" spans="1:19">
      <c r="B42" s="4"/>
      <c r="C42" s="1"/>
      <c r="D42" s="1"/>
      <c r="E42" s="1"/>
      <c r="F42" s="1"/>
      <c r="G42" s="1"/>
      <c r="H42" s="1"/>
      <c r="I42" s="1"/>
      <c r="J42" s="1"/>
      <c r="K42" s="1"/>
      <c r="L42" s="13"/>
      <c r="M42" s="13"/>
      <c r="N42" s="13"/>
      <c r="O42" s="1"/>
      <c r="P42" s="1"/>
      <c r="Q42" s="1"/>
      <c r="R42" s="5"/>
    </row>
    <row r="43" spans="1:19">
      <c r="B43" s="4"/>
      <c r="C43" s="1"/>
      <c r="D43" s="1"/>
      <c r="E43" s="1"/>
      <c r="F43" s="1"/>
      <c r="G43" s="1"/>
      <c r="H43" s="1"/>
      <c r="I43" s="1"/>
      <c r="J43" s="1"/>
      <c r="K43" s="1"/>
      <c r="L43" s="13"/>
      <c r="M43" s="13"/>
      <c r="N43" s="13"/>
      <c r="O43" s="1"/>
      <c r="P43" s="1"/>
      <c r="Q43" s="1"/>
      <c r="R43" s="5"/>
    </row>
    <row r="44" spans="1:19" ht="10.5" customHeight="1">
      <c r="B44" s="6"/>
      <c r="C44" s="7"/>
      <c r="D44" s="7"/>
      <c r="E44" s="7"/>
      <c r="F44" s="7"/>
      <c r="G44" s="7"/>
      <c r="H44" s="7"/>
      <c r="I44" s="7"/>
      <c r="J44" s="7"/>
      <c r="K44" s="7"/>
      <c r="L44" s="14"/>
      <c r="M44" s="14"/>
      <c r="N44" s="14"/>
      <c r="O44" s="7"/>
      <c r="P44" s="7"/>
      <c r="Q44" s="7"/>
      <c r="R44" s="8"/>
    </row>
  </sheetData>
  <mergeCells count="130">
    <mergeCell ref="B4:N4"/>
    <mergeCell ref="G6:G7"/>
    <mergeCell ref="H6:H7"/>
    <mergeCell ref="I6:J6"/>
    <mergeCell ref="K6:K7"/>
    <mergeCell ref="B5:D5"/>
    <mergeCell ref="C6:C7"/>
    <mergeCell ref="D6:D7"/>
    <mergeCell ref="C8:C9"/>
    <mergeCell ref="E5:I5"/>
    <mergeCell ref="F8:F9"/>
    <mergeCell ref="J5:R5"/>
    <mergeCell ref="R8:R9"/>
    <mergeCell ref="B6:B7"/>
    <mergeCell ref="E6:F6"/>
    <mergeCell ref="R10:R11"/>
    <mergeCell ref="R12:R13"/>
    <mergeCell ref="O8:O9"/>
    <mergeCell ref="O10:O11"/>
    <mergeCell ref="Q8:Q9"/>
    <mergeCell ref="P10:P11"/>
    <mergeCell ref="P12:P13"/>
    <mergeCell ref="Q10:Q11"/>
    <mergeCell ref="E37:K37"/>
    <mergeCell ref="H8:H9"/>
    <mergeCell ref="E8:E9"/>
    <mergeCell ref="O33:O34"/>
    <mergeCell ref="P20:P21"/>
    <mergeCell ref="Q22:Q23"/>
    <mergeCell ref="R22:R23"/>
    <mergeCell ref="B35:N35"/>
    <mergeCell ref="C31:C32"/>
    <mergeCell ref="O22:O23"/>
    <mergeCell ref="P22:P23"/>
    <mergeCell ref="R33:R34"/>
    <mergeCell ref="K29:K30"/>
    <mergeCell ref="E20:E21"/>
    <mergeCell ref="F20:F21"/>
    <mergeCell ref="H20:H21"/>
    <mergeCell ref="A8:A9"/>
    <mergeCell ref="A10:A11"/>
    <mergeCell ref="B14:N14"/>
    <mergeCell ref="F33:F34"/>
    <mergeCell ref="O31:O32"/>
    <mergeCell ref="Q33:Q34"/>
    <mergeCell ref="P31:P32"/>
    <mergeCell ref="A33:A34"/>
    <mergeCell ref="C33:C34"/>
    <mergeCell ref="A12:A13"/>
    <mergeCell ref="B28:D28"/>
    <mergeCell ref="B29:B30"/>
    <mergeCell ref="C29:C30"/>
    <mergeCell ref="D29:D30"/>
    <mergeCell ref="A31:A32"/>
    <mergeCell ref="O12:O13"/>
    <mergeCell ref="P8:P9"/>
    <mergeCell ref="E33:E34"/>
    <mergeCell ref="I29:J29"/>
    <mergeCell ref="B15:D15"/>
    <mergeCell ref="C24:C25"/>
    <mergeCell ref="B16:B17"/>
    <mergeCell ref="C10:C11"/>
    <mergeCell ref="E15:I15"/>
    <mergeCell ref="C12:C13"/>
    <mergeCell ref="E10:E11"/>
    <mergeCell ref="F10:F11"/>
    <mergeCell ref="E12:E13"/>
    <mergeCell ref="F12:F13"/>
    <mergeCell ref="Q12:Q13"/>
    <mergeCell ref="H33:H34"/>
    <mergeCell ref="E29:F29"/>
    <mergeCell ref="G29:G30"/>
    <mergeCell ref="H29:H30"/>
    <mergeCell ref="E31:E32"/>
    <mergeCell ref="F31:F32"/>
    <mergeCell ref="H31:H32"/>
    <mergeCell ref="H10:H11"/>
    <mergeCell ref="H12:H13"/>
    <mergeCell ref="P33:P34"/>
    <mergeCell ref="O18:O19"/>
    <mergeCell ref="P18:P19"/>
    <mergeCell ref="Q18:Q19"/>
    <mergeCell ref="C16:C17"/>
    <mergeCell ref="D16:D17"/>
    <mergeCell ref="E16:F16"/>
    <mergeCell ref="G16:G17"/>
    <mergeCell ref="H16:H17"/>
    <mergeCell ref="A22:A23"/>
    <mergeCell ref="J15:R15"/>
    <mergeCell ref="F22:F23"/>
    <mergeCell ref="H22:H23"/>
    <mergeCell ref="I36:R36"/>
    <mergeCell ref="O20:O21"/>
    <mergeCell ref="E36:H36"/>
    <mergeCell ref="I16:J16"/>
    <mergeCell ref="C18:C19"/>
    <mergeCell ref="F18:F19"/>
    <mergeCell ref="H18:H19"/>
    <mergeCell ref="E18:E19"/>
    <mergeCell ref="K16:K17"/>
    <mergeCell ref="R18:R19"/>
    <mergeCell ref="R20:R21"/>
    <mergeCell ref="Q20:Q21"/>
    <mergeCell ref="Q31:Q32"/>
    <mergeCell ref="R31:R32"/>
    <mergeCell ref="B36:D36"/>
    <mergeCell ref="S31:S32"/>
    <mergeCell ref="S33:S34"/>
    <mergeCell ref="A18:A19"/>
    <mergeCell ref="A20:A21"/>
    <mergeCell ref="C20:C21"/>
    <mergeCell ref="Q24:Q25"/>
    <mergeCell ref="R24:R25"/>
    <mergeCell ref="C26:C27"/>
    <mergeCell ref="E26:E27"/>
    <mergeCell ref="F26:F27"/>
    <mergeCell ref="H26:H27"/>
    <mergeCell ref="O26:O27"/>
    <mergeCell ref="P26:P27"/>
    <mergeCell ref="Q26:Q27"/>
    <mergeCell ref="R26:R27"/>
    <mergeCell ref="E24:E25"/>
    <mergeCell ref="F24:F25"/>
    <mergeCell ref="H24:H25"/>
    <mergeCell ref="O24:O25"/>
    <mergeCell ref="P24:P25"/>
    <mergeCell ref="A24:A25"/>
    <mergeCell ref="A26:A27"/>
    <mergeCell ref="C22:C23"/>
    <mergeCell ref="E22:E23"/>
  </mergeCells>
  <pageMargins left="0.25" right="0.25" top="0.75" bottom="0.75" header="0.3" footer="0.3"/>
  <pageSetup paperSize="9" scale="3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Бытовые сплит-системы</vt:lpstr>
      <vt:lpstr>'Бытовые сплит-системы'!Область_печати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2026-01-12T07:12:52Z</dcterms:modified>
</cp:coreProperties>
</file>