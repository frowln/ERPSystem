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Эльмир Казань вентиляция Казань\2026г\Перьм МСЦ договор на 32миллиона руб\"/>
    </mc:Choice>
  </mc:AlternateContent>
  <xr:revisionPtr revIDLastSave="0" documentId="13_ncr:1_{40AB2D3A-5BF6-42DE-B995-59BAD3E4D29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КС3№1" sheetId="3" r:id="rId1"/>
  </sheets>
  <definedNames>
    <definedName name="_xlnm.Print_Area" localSheetId="0">КС3№1!$A$1:$K$47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" i="3" l="1"/>
  <c r="F30" i="3" l="1"/>
  <c r="F29" i="3" s="1"/>
  <c r="H30" i="3" l="1"/>
  <c r="H29" i="3" s="1"/>
  <c r="I31" i="3"/>
  <c r="I32" i="3" s="1"/>
  <c r="I29" i="3"/>
  <c r="I33" i="3" l="1"/>
  <c r="I3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Дарья</author>
  </authors>
  <commentList>
    <comment ref="B29" authorId="0" shapeId="0" xr:uid="{00000000-0006-0000-0000-000001000000}">
      <text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<sst xmlns="http://schemas.openxmlformats.org/spreadsheetml/2006/main" count="61" uniqueCount="53">
  <si>
    <t>Форма по ОКУД</t>
  </si>
  <si>
    <t>по ОКПО</t>
  </si>
  <si>
    <t>Вид деятельности по ОКДП</t>
  </si>
  <si>
    <t>номер</t>
  </si>
  <si>
    <t>дата</t>
  </si>
  <si>
    <t>Вид операции</t>
  </si>
  <si>
    <t>Отчетный период</t>
  </si>
  <si>
    <t>с</t>
  </si>
  <si>
    <t>Код</t>
  </si>
  <si>
    <t xml:space="preserve">                        Унифицированная форма № КС-3 </t>
  </si>
  <si>
    <t xml:space="preserve">                        Утверждена постановлением Госкомстата России </t>
  </si>
  <si>
    <t xml:space="preserve">                        от 11.11.99 № 100</t>
  </si>
  <si>
    <t>организация, адрес, телефон, факс</t>
  </si>
  <si>
    <t xml:space="preserve">Стройка - </t>
  </si>
  <si>
    <t>наименование, адрес</t>
  </si>
  <si>
    <t>Договор подряда (контракт)</t>
  </si>
  <si>
    <t>Номер</t>
  </si>
  <si>
    <t>Дата</t>
  </si>
  <si>
    <t>документа</t>
  </si>
  <si>
    <t>составления</t>
  </si>
  <si>
    <t>по</t>
  </si>
  <si>
    <t xml:space="preserve">   </t>
  </si>
  <si>
    <t xml:space="preserve">                                                СПРАВКА </t>
  </si>
  <si>
    <t xml:space="preserve">              О СТОИМОСТИ ВЫПОЛНЕННЫХ РАБОТ И ЗАТРАТ</t>
  </si>
  <si>
    <t>Номер п/п</t>
  </si>
  <si>
    <t>Наименование
пусковых комплексов, объектов, видов работ, оборудования, затрат</t>
  </si>
  <si>
    <t>Стоимость выполненных работ и затрат, руб.</t>
  </si>
  <si>
    <t>с начала проведения работ</t>
  </si>
  <si>
    <t>с начала года по отчетный месяц включительно</t>
  </si>
  <si>
    <t>в том числе за отчетный месяц</t>
  </si>
  <si>
    <t>Всего работ и затрат, включаемых в стоимость работ в том числе:</t>
  </si>
  <si>
    <t>Итого, руб.</t>
  </si>
  <si>
    <t>Сумма НДС (20%), руб.</t>
  </si>
  <si>
    <t>Всего с учетом налогов, руб.</t>
  </si>
  <si>
    <t xml:space="preserve">   должность</t>
  </si>
  <si>
    <t>подпись</t>
  </si>
  <si>
    <t xml:space="preserve">расшифровка   </t>
  </si>
  <si>
    <t xml:space="preserve"> М П</t>
  </si>
  <si>
    <t>Директор</t>
  </si>
  <si>
    <t>Зачет аванса, руб.</t>
  </si>
  <si>
    <t>Итого к оплате, руб.</t>
  </si>
  <si>
    <t xml:space="preserve">Пермский край, г. Пермь, Мотовилихинский район, ул.1905 года, 35 </t>
  </si>
  <si>
    <t>ООО «ЭЛТЕХИМПОРТ», 420100, Республика Татарстан, г. Казань,              ул. Академика Сахарова, д.1а, офис 19                                                                ИНН/КПП 1661066482/166101001</t>
  </si>
  <si>
    <t>Акт №1 Монтажные работы</t>
  </si>
  <si>
    <t>ООО «Привод»: 420047, Российская Федерация, Республика Татарстан,        г. Казань, ул. Абая Кунанбаева, дом 18. ИНН/КПП 1655253389/168301001</t>
  </si>
  <si>
    <t xml:space="preserve">Субисполнитель - </t>
  </si>
  <si>
    <t xml:space="preserve">Исполнитель - </t>
  </si>
  <si>
    <t>Субисполнитель ООО «ЭЛТЕХИМПОРТ»</t>
  </si>
  <si>
    <t>/В.Л.Колесник/</t>
  </si>
  <si>
    <t>Исполнитель  ООО «Привод»</t>
  </si>
  <si>
    <t>/Р.Р.Шигабутдинов/</t>
  </si>
  <si>
    <t xml:space="preserve">Генеральный директор </t>
  </si>
  <si>
    <t>Доп.согл. №3 к договору №08/08-25 от 08.08.2025г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</si>
</sst>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Times New Roman"/>
      <family val="1"/>
      <charset val="204"/>
    </font>
    <font>
      <sz val="9"/>
      <color indexed="81"/>
      <name val="Tahoma"/>
      <family val="2"/>
      <charset val="204"/>
    </font>
    <font>
      <sz val="9"/>
      <color theme="1"/>
      <name val="Arial"/>
      <family val="2"/>
      <charset val="204"/>
    </font>
    <font>
      <sz val="8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0" fontId="5" fillId="0" borderId="0">
      <alignment horizontal="left" vertical="top"/>
    </xf>
  </cellStyleXfs>
  <cellXfs count="9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4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14" fontId="1" fillId="0" borderId="23" xfId="0" applyNumberFormat="1" applyFont="1" applyBorder="1" applyAlignment="1">
      <alignment horizontal="center" vertical="center"/>
    </xf>
    <xf numFmtId="14" fontId="1" fillId="0" borderId="2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1" fillId="0" borderId="0" xfId="0" applyNumberFormat="1" applyFont="1" applyAlignment="1">
      <alignment vertical="center"/>
    </xf>
    <xf numFmtId="0" fontId="1" fillId="0" borderId="7" xfId="0" applyFont="1" applyBorder="1" applyAlignment="1">
      <alignment horizontal="right" vertical="center"/>
    </xf>
    <xf numFmtId="0" fontId="3" fillId="0" borderId="0" xfId="1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0" xfId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1" fillId="0" borderId="16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14" fontId="1" fillId="0" borderId="16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1" fillId="0" borderId="22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4" fontId="1" fillId="0" borderId="5" xfId="0" applyNumberFormat="1" applyFont="1" applyBorder="1" applyAlignment="1">
      <alignment horizontal="right" vertical="center" wrapText="1"/>
    </xf>
    <xf numFmtId="4" fontId="1" fillId="0" borderId="26" xfId="0" applyNumberFormat="1" applyFont="1" applyBorder="1" applyAlignment="1">
      <alignment horizontal="right" vertical="center" wrapText="1"/>
    </xf>
    <xf numFmtId="4" fontId="1" fillId="0" borderId="6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left" vertical="center" wrapText="1"/>
    </xf>
    <xf numFmtId="4" fontId="1" fillId="0" borderId="2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vertical="center" wrapText="1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4" fontId="1" fillId="0" borderId="5" xfId="0" applyNumberFormat="1" applyFont="1" applyBorder="1" applyAlignment="1">
      <alignment horizontal="right" vertical="center"/>
    </xf>
    <xf numFmtId="4" fontId="1" fillId="0" borderId="26" xfId="0" applyNumberFormat="1" applyFont="1" applyBorder="1" applyAlignment="1">
      <alignment horizontal="right" vertical="center"/>
    </xf>
    <xf numFmtId="4" fontId="1" fillId="0" borderId="6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right" vertical="center" wrapText="1"/>
    </xf>
    <xf numFmtId="0" fontId="4" fillId="0" borderId="29" xfId="0" applyFont="1" applyBorder="1" applyAlignment="1">
      <alignment horizontal="left" vertical="center"/>
    </xf>
    <xf numFmtId="0" fontId="4" fillId="0" borderId="29" xfId="0" applyFont="1" applyBorder="1" applyAlignment="1">
      <alignment horizontal="center" vertical="center"/>
    </xf>
    <xf numFmtId="0" fontId="4" fillId="0" borderId="29" xfId="0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 wrapText="1"/>
    </xf>
  </cellXfs>
  <cellStyles count="2">
    <cellStyle name="Обычный" xfId="0" builtinId="0"/>
    <cellStyle name="Хвост" xfId="1" xr:uid="{00000000-0005-0000-0000-000001000000}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7"/>
  <sheetViews>
    <sheetView tabSelected="1" view="pageBreakPreview" topLeftCell="A28" zoomScaleNormal="100" zoomScaleSheetLayoutView="100" workbookViewId="0">
      <selection activeCell="I31" sqref="I31:K31"/>
    </sheetView>
  </sheetViews>
  <sheetFormatPr defaultColWidth="8.85546875" defaultRowHeight="12.75" x14ac:dyDescent="0.25"/>
  <cols>
    <col min="1" max="1" width="8.85546875" style="1"/>
    <col min="2" max="2" width="5.7109375" style="1" customWidth="1"/>
    <col min="3" max="3" width="22.28515625" style="1" customWidth="1"/>
    <col min="4" max="4" width="13" style="1" customWidth="1"/>
    <col min="5" max="5" width="13.28515625" style="1" customWidth="1"/>
    <col min="6" max="6" width="14.7109375" style="1" customWidth="1"/>
    <col min="7" max="7" width="4.85546875" style="1" customWidth="1"/>
    <col min="8" max="8" width="15" style="1" customWidth="1"/>
    <col min="9" max="10" width="6.7109375" style="1" customWidth="1"/>
    <col min="11" max="11" width="6.140625" style="1" customWidth="1"/>
    <col min="12" max="13" width="8.85546875" style="1"/>
    <col min="14" max="14" width="11.7109375" style="1" bestFit="1" customWidth="1"/>
    <col min="15" max="15" width="14.5703125" style="1" customWidth="1"/>
    <col min="16" max="16" width="8.85546875" style="1"/>
    <col min="17" max="17" width="10.7109375" style="1" bestFit="1" customWidth="1"/>
    <col min="18" max="16384" width="8.85546875" style="1"/>
  </cols>
  <sheetData>
    <row r="1" spans="1:11" x14ac:dyDescent="0.25">
      <c r="A1" s="15"/>
      <c r="B1" s="15"/>
      <c r="C1" s="15"/>
      <c r="D1" s="15"/>
      <c r="E1" s="15"/>
      <c r="F1" s="39" t="s">
        <v>9</v>
      </c>
      <c r="G1" s="39"/>
      <c r="H1" s="39"/>
      <c r="I1" s="39"/>
      <c r="J1" s="39"/>
      <c r="K1" s="39"/>
    </row>
    <row r="2" spans="1:11" x14ac:dyDescent="0.25">
      <c r="A2" s="15"/>
      <c r="B2" s="15"/>
      <c r="C2" s="15"/>
      <c r="D2" s="15"/>
      <c r="E2" s="15"/>
      <c r="F2" s="39" t="s">
        <v>10</v>
      </c>
      <c r="G2" s="39"/>
      <c r="H2" s="39"/>
      <c r="I2" s="39"/>
      <c r="J2" s="39"/>
      <c r="K2" s="39"/>
    </row>
    <row r="3" spans="1:11" x14ac:dyDescent="0.25">
      <c r="A3" s="15"/>
      <c r="B3" s="15"/>
      <c r="C3" s="15"/>
      <c r="D3" s="15"/>
      <c r="E3" s="15"/>
      <c r="F3" s="39" t="s">
        <v>11</v>
      </c>
      <c r="G3" s="39"/>
      <c r="H3" s="39"/>
      <c r="I3" s="39"/>
      <c r="J3" s="39"/>
      <c r="K3" s="39"/>
    </row>
    <row r="4" spans="1:11" x14ac:dyDescent="0.25">
      <c r="A4" s="15"/>
      <c r="B4" s="15"/>
      <c r="C4" s="15"/>
      <c r="D4" s="15"/>
      <c r="E4" s="15"/>
      <c r="F4" s="16"/>
      <c r="G4" s="16"/>
      <c r="H4" s="16"/>
      <c r="I4" s="16"/>
      <c r="J4" s="16"/>
      <c r="K4" s="16"/>
    </row>
    <row r="5" spans="1:11" ht="13.5" thickBot="1" x14ac:dyDescent="0.3">
      <c r="I5" s="40" t="s">
        <v>8</v>
      </c>
      <c r="J5" s="41"/>
      <c r="K5" s="42"/>
    </row>
    <row r="6" spans="1:11" x14ac:dyDescent="0.25">
      <c r="H6" s="7" t="s">
        <v>0</v>
      </c>
      <c r="I6" s="43">
        <v>322001</v>
      </c>
      <c r="J6" s="44"/>
      <c r="K6" s="45"/>
    </row>
    <row r="7" spans="1:11" x14ac:dyDescent="0.25">
      <c r="A7" s="2"/>
      <c r="B7" s="2"/>
      <c r="C7" s="33"/>
      <c r="D7" s="33"/>
      <c r="E7" s="33"/>
      <c r="F7" s="33"/>
      <c r="G7" s="33"/>
      <c r="H7" s="34" t="s">
        <v>1</v>
      </c>
      <c r="I7" s="35"/>
      <c r="J7" s="36"/>
      <c r="K7" s="37"/>
    </row>
    <row r="8" spans="1:11" x14ac:dyDescent="0.25">
      <c r="A8" s="38"/>
      <c r="B8" s="38"/>
      <c r="C8" s="38"/>
      <c r="D8" s="38"/>
      <c r="E8" s="38"/>
      <c r="F8" s="38"/>
      <c r="G8" s="38"/>
      <c r="H8" s="34"/>
      <c r="I8" s="35"/>
      <c r="J8" s="36"/>
      <c r="K8" s="37"/>
    </row>
    <row r="9" spans="1:11" ht="40.5" customHeight="1" x14ac:dyDescent="0.25">
      <c r="A9" s="2" t="s">
        <v>46</v>
      </c>
      <c r="B9" s="2"/>
      <c r="C9" s="46" t="s">
        <v>44</v>
      </c>
      <c r="D9" s="47"/>
      <c r="E9" s="47"/>
      <c r="F9" s="47"/>
      <c r="G9" s="47"/>
      <c r="H9" s="34" t="s">
        <v>1</v>
      </c>
      <c r="I9" s="35"/>
      <c r="J9" s="36"/>
      <c r="K9" s="37"/>
    </row>
    <row r="10" spans="1:11" x14ac:dyDescent="0.25">
      <c r="A10" s="48" t="s">
        <v>12</v>
      </c>
      <c r="B10" s="48"/>
      <c r="C10" s="48"/>
      <c r="D10" s="48"/>
      <c r="E10" s="48"/>
      <c r="F10" s="48"/>
      <c r="G10" s="48"/>
      <c r="H10" s="34"/>
      <c r="I10" s="35"/>
      <c r="J10" s="36"/>
      <c r="K10" s="37"/>
    </row>
    <row r="11" spans="1:11" ht="42" customHeight="1" x14ac:dyDescent="0.25">
      <c r="A11" s="1" t="s">
        <v>45</v>
      </c>
      <c r="B11" s="2"/>
      <c r="C11" s="46" t="s">
        <v>42</v>
      </c>
      <c r="D11" s="47"/>
      <c r="E11" s="47"/>
      <c r="F11" s="47"/>
      <c r="G11" s="47"/>
      <c r="H11" s="34" t="s">
        <v>1</v>
      </c>
      <c r="I11" s="35"/>
      <c r="J11" s="36"/>
      <c r="K11" s="37"/>
    </row>
    <row r="12" spans="1:11" x14ac:dyDescent="0.25">
      <c r="A12" s="48" t="s">
        <v>12</v>
      </c>
      <c r="B12" s="48"/>
      <c r="C12" s="48"/>
      <c r="D12" s="48"/>
      <c r="E12" s="48"/>
      <c r="F12" s="48"/>
      <c r="G12" s="48"/>
      <c r="H12" s="34"/>
      <c r="I12" s="35"/>
      <c r="J12" s="36"/>
      <c r="K12" s="37"/>
    </row>
    <row r="13" spans="1:11" x14ac:dyDescent="0.25">
      <c r="A13" s="1" t="s">
        <v>13</v>
      </c>
      <c r="B13" s="2"/>
      <c r="C13" s="46" t="s">
        <v>41</v>
      </c>
      <c r="D13" s="46"/>
      <c r="E13" s="46"/>
      <c r="F13" s="46"/>
      <c r="G13" s="46"/>
      <c r="H13" s="34"/>
      <c r="I13" s="35"/>
      <c r="J13" s="36"/>
      <c r="K13" s="37"/>
    </row>
    <row r="14" spans="1:11" x14ac:dyDescent="0.25">
      <c r="A14" s="48" t="s">
        <v>14</v>
      </c>
      <c r="B14" s="48"/>
      <c r="C14" s="48"/>
      <c r="D14" s="48"/>
      <c r="E14" s="48"/>
      <c r="F14" s="48"/>
      <c r="G14" s="48"/>
      <c r="H14" s="34"/>
      <c r="I14" s="35"/>
      <c r="J14" s="36"/>
      <c r="K14" s="37"/>
    </row>
    <row r="15" spans="1:11" x14ac:dyDescent="0.25">
      <c r="A15" s="34" t="s">
        <v>2</v>
      </c>
      <c r="B15" s="34"/>
      <c r="C15" s="34"/>
      <c r="D15" s="34"/>
      <c r="E15" s="34"/>
      <c r="F15" s="34"/>
      <c r="G15" s="34"/>
      <c r="H15" s="34"/>
      <c r="I15" s="35"/>
      <c r="J15" s="36"/>
      <c r="K15" s="37"/>
    </row>
    <row r="16" spans="1:11" ht="39.75" customHeight="1" x14ac:dyDescent="0.25">
      <c r="A16" s="34" t="s">
        <v>15</v>
      </c>
      <c r="B16" s="34"/>
      <c r="C16" s="34"/>
      <c r="D16" s="34"/>
      <c r="E16" s="34"/>
      <c r="F16" s="34"/>
      <c r="G16" s="34"/>
      <c r="H16" s="17" t="s">
        <v>3</v>
      </c>
      <c r="I16" s="50" t="s">
        <v>52</v>
      </c>
      <c r="J16" s="51"/>
      <c r="K16" s="52"/>
    </row>
    <row r="17" spans="1:11" x14ac:dyDescent="0.25">
      <c r="H17" s="17" t="s">
        <v>4</v>
      </c>
      <c r="I17" s="53">
        <v>46051</v>
      </c>
      <c r="J17" s="36"/>
      <c r="K17" s="37"/>
    </row>
    <row r="18" spans="1:11" ht="13.5" thickBot="1" x14ac:dyDescent="0.3">
      <c r="H18" s="7" t="s">
        <v>5</v>
      </c>
      <c r="I18" s="54"/>
      <c r="J18" s="55"/>
      <c r="K18" s="56"/>
    </row>
    <row r="19" spans="1:11" x14ac:dyDescent="0.25">
      <c r="D19" s="3"/>
      <c r="E19" s="4"/>
      <c r="H19" s="7"/>
    </row>
    <row r="20" spans="1:11" x14ac:dyDescent="0.25">
      <c r="E20" s="18" t="s">
        <v>16</v>
      </c>
      <c r="F20" s="9" t="s">
        <v>17</v>
      </c>
      <c r="H20" s="40" t="s">
        <v>6</v>
      </c>
      <c r="I20" s="41"/>
      <c r="J20" s="41"/>
      <c r="K20" s="42"/>
    </row>
    <row r="21" spans="1:11" ht="13.5" thickBot="1" x14ac:dyDescent="0.3">
      <c r="E21" s="19" t="s">
        <v>18</v>
      </c>
      <c r="F21" s="20" t="s">
        <v>19</v>
      </c>
      <c r="H21" s="18" t="s">
        <v>7</v>
      </c>
      <c r="I21" s="40" t="s">
        <v>20</v>
      </c>
      <c r="J21" s="41"/>
      <c r="K21" s="42"/>
    </row>
    <row r="22" spans="1:11" ht="13.5" thickBot="1" x14ac:dyDescent="0.3">
      <c r="D22" s="21" t="s">
        <v>21</v>
      </c>
      <c r="E22" s="5">
        <v>1</v>
      </c>
      <c r="F22" s="22">
        <v>46077</v>
      </c>
      <c r="H22" s="23">
        <v>46051</v>
      </c>
      <c r="I22" s="57">
        <v>46077</v>
      </c>
      <c r="J22" s="58"/>
      <c r="K22" s="59"/>
    </row>
    <row r="23" spans="1:11" x14ac:dyDescent="0.25">
      <c r="A23" s="49" t="s">
        <v>22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</row>
    <row r="24" spans="1:11" x14ac:dyDescent="0.25">
      <c r="A24" s="49" t="s">
        <v>23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</row>
    <row r="25" spans="1:11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</row>
    <row r="26" spans="1:11" x14ac:dyDescent="0.25">
      <c r="A26" s="61" t="s">
        <v>24</v>
      </c>
      <c r="B26" s="63" t="s">
        <v>25</v>
      </c>
      <c r="C26" s="64"/>
      <c r="D26" s="65"/>
      <c r="E26" s="69" t="s">
        <v>8</v>
      </c>
      <c r="F26" s="71" t="s">
        <v>26</v>
      </c>
      <c r="G26" s="72"/>
      <c r="H26" s="72"/>
      <c r="I26" s="72"/>
      <c r="J26" s="72"/>
      <c r="K26" s="73"/>
    </row>
    <row r="27" spans="1:11" ht="51" x14ac:dyDescent="0.25">
      <c r="A27" s="62"/>
      <c r="B27" s="66"/>
      <c r="C27" s="67"/>
      <c r="D27" s="68"/>
      <c r="E27" s="70"/>
      <c r="F27" s="74" t="s">
        <v>27</v>
      </c>
      <c r="G27" s="75"/>
      <c r="H27" s="12" t="s">
        <v>28</v>
      </c>
      <c r="I27" s="74" t="s">
        <v>29</v>
      </c>
      <c r="J27" s="76"/>
      <c r="K27" s="75"/>
    </row>
    <row r="28" spans="1:11" x14ac:dyDescent="0.25">
      <c r="A28" s="8">
        <v>1</v>
      </c>
      <c r="B28" s="71">
        <v>2</v>
      </c>
      <c r="C28" s="72"/>
      <c r="D28" s="73"/>
      <c r="E28" s="11">
        <v>3</v>
      </c>
      <c r="F28" s="71">
        <v>4</v>
      </c>
      <c r="G28" s="73"/>
      <c r="H28" s="10">
        <v>5</v>
      </c>
      <c r="I28" s="71">
        <v>6</v>
      </c>
      <c r="J28" s="72"/>
      <c r="K28" s="73"/>
    </row>
    <row r="29" spans="1:11" ht="27.6" customHeight="1" x14ac:dyDescent="0.25">
      <c r="A29" s="14"/>
      <c r="B29" s="82" t="s">
        <v>30</v>
      </c>
      <c r="C29" s="36"/>
      <c r="D29" s="36"/>
      <c r="E29" s="24"/>
      <c r="F29" s="83">
        <f>F30</f>
        <v>6105573.7699999996</v>
      </c>
      <c r="G29" s="83"/>
      <c r="H29" s="13">
        <f>H30</f>
        <v>6105573.7699999996</v>
      </c>
      <c r="I29" s="83">
        <f>I30</f>
        <v>6105573.7699999996</v>
      </c>
      <c r="J29" s="83"/>
      <c r="K29" s="83"/>
    </row>
    <row r="30" spans="1:11" ht="24.6" customHeight="1" x14ac:dyDescent="0.25">
      <c r="A30" s="14">
        <v>1</v>
      </c>
      <c r="B30" s="80" t="s">
        <v>43</v>
      </c>
      <c r="C30" s="80"/>
      <c r="D30" s="80"/>
      <c r="E30" s="24"/>
      <c r="F30" s="81">
        <f>I30</f>
        <v>6105573.7699999996</v>
      </c>
      <c r="G30" s="81"/>
      <c r="H30" s="25">
        <f>I30</f>
        <v>6105573.7699999996</v>
      </c>
      <c r="I30" s="81">
        <f>7448800/1.22</f>
        <v>6105573.7699999996</v>
      </c>
      <c r="J30" s="81"/>
      <c r="K30" s="81"/>
    </row>
    <row r="31" spans="1:11" x14ac:dyDescent="0.25">
      <c r="A31" s="84" t="s">
        <v>31</v>
      </c>
      <c r="B31" s="84"/>
      <c r="C31" s="84"/>
      <c r="D31" s="84"/>
      <c r="E31" s="84"/>
      <c r="F31" s="84"/>
      <c r="G31" s="84"/>
      <c r="H31" s="85"/>
      <c r="I31" s="86">
        <f>I30</f>
        <v>6105573.7699999996</v>
      </c>
      <c r="J31" s="87"/>
      <c r="K31" s="88"/>
    </row>
    <row r="32" spans="1:11" x14ac:dyDescent="0.25">
      <c r="A32" s="34" t="s">
        <v>32</v>
      </c>
      <c r="B32" s="34"/>
      <c r="C32" s="34"/>
      <c r="D32" s="34"/>
      <c r="E32" s="34"/>
      <c r="F32" s="34"/>
      <c r="G32" s="34"/>
      <c r="H32" s="89"/>
      <c r="I32" s="77">
        <f>I31*0.22</f>
        <v>1343226.23</v>
      </c>
      <c r="J32" s="78"/>
      <c r="K32" s="79"/>
    </row>
    <row r="33" spans="1:14" x14ac:dyDescent="0.25">
      <c r="A33" s="34" t="s">
        <v>33</v>
      </c>
      <c r="B33" s="34"/>
      <c r="C33" s="34"/>
      <c r="D33" s="34"/>
      <c r="E33" s="34"/>
      <c r="F33" s="34"/>
      <c r="G33" s="34"/>
      <c r="H33" s="89"/>
      <c r="I33" s="77">
        <f>I31+I32</f>
        <v>7448800</v>
      </c>
      <c r="J33" s="78"/>
      <c r="K33" s="79"/>
      <c r="N33" s="26"/>
    </row>
    <row r="34" spans="1:14" hidden="1" x14ac:dyDescent="0.25">
      <c r="A34" s="7"/>
      <c r="B34" s="7"/>
      <c r="C34" s="7"/>
      <c r="D34" s="7"/>
      <c r="E34" s="7"/>
      <c r="F34" s="7"/>
      <c r="G34" s="7"/>
      <c r="H34" s="27" t="s">
        <v>39</v>
      </c>
      <c r="I34" s="77">
        <v>0</v>
      </c>
      <c r="J34" s="78"/>
      <c r="K34" s="79"/>
    </row>
    <row r="35" spans="1:14" hidden="1" x14ac:dyDescent="0.25">
      <c r="A35" s="7"/>
      <c r="B35" s="7"/>
      <c r="C35" s="7"/>
      <c r="D35" s="7"/>
      <c r="E35" s="7"/>
      <c r="F35" s="7"/>
      <c r="G35" s="7"/>
      <c r="H35" s="7" t="s">
        <v>40</v>
      </c>
      <c r="I35" s="77">
        <f>I33-I34</f>
        <v>7448800</v>
      </c>
      <c r="J35" s="78"/>
      <c r="K35" s="79"/>
    </row>
    <row r="36" spans="1:14" x14ac:dyDescent="0.25">
      <c r="A36" s="7"/>
      <c r="B36" s="7"/>
      <c r="C36" s="7"/>
      <c r="D36" s="7"/>
      <c r="E36" s="7"/>
      <c r="F36" s="7"/>
      <c r="G36" s="7"/>
      <c r="H36" s="7"/>
      <c r="I36" s="6"/>
      <c r="J36" s="6"/>
      <c r="K36" s="6"/>
    </row>
    <row r="37" spans="1:14" x14ac:dyDescent="0.25">
      <c r="A37" s="7"/>
      <c r="B37" s="7"/>
      <c r="C37" s="7"/>
      <c r="D37" s="7"/>
      <c r="E37" s="7"/>
      <c r="F37" s="7"/>
      <c r="G37" s="7"/>
      <c r="H37" s="7"/>
      <c r="I37" s="6"/>
      <c r="J37" s="6"/>
      <c r="K37" s="6"/>
    </row>
    <row r="38" spans="1:14" x14ac:dyDescent="0.25">
      <c r="A38" s="7"/>
      <c r="B38" s="7"/>
      <c r="C38" s="7"/>
      <c r="D38" s="7"/>
      <c r="E38" s="7"/>
      <c r="F38" s="7"/>
      <c r="G38" s="7"/>
      <c r="H38" s="7"/>
      <c r="I38" s="6"/>
      <c r="J38" s="6"/>
      <c r="K38" s="6"/>
    </row>
    <row r="39" spans="1:14" x14ac:dyDescent="0.25">
      <c r="A39" s="7"/>
      <c r="B39" s="7"/>
      <c r="C39" s="7"/>
      <c r="D39" s="7"/>
      <c r="E39" s="7"/>
      <c r="F39" s="7"/>
      <c r="G39" s="7"/>
      <c r="H39" s="7"/>
      <c r="I39" s="6"/>
      <c r="J39" s="6"/>
      <c r="K39" s="6"/>
    </row>
    <row r="40" spans="1:14" x14ac:dyDescent="0.25">
      <c r="A40" s="28" t="s">
        <v>49</v>
      </c>
      <c r="E40" s="46" t="s">
        <v>51</v>
      </c>
      <c r="F40" s="47"/>
      <c r="G40" s="90"/>
      <c r="H40" s="90"/>
      <c r="I40" s="95" t="s">
        <v>50</v>
      </c>
      <c r="J40" s="91"/>
      <c r="K40" s="91"/>
    </row>
    <row r="41" spans="1:14" s="31" customFormat="1" ht="12" x14ac:dyDescent="0.25">
      <c r="A41" s="29"/>
      <c r="B41" s="30"/>
      <c r="C41" s="30"/>
      <c r="D41" s="30"/>
      <c r="E41" s="92" t="s">
        <v>34</v>
      </c>
      <c r="F41" s="92"/>
      <c r="G41" s="93" t="s">
        <v>35</v>
      </c>
      <c r="H41" s="93"/>
      <c r="I41" s="94" t="s">
        <v>36</v>
      </c>
      <c r="J41" s="94"/>
      <c r="K41" s="94"/>
    </row>
    <row r="42" spans="1:14" x14ac:dyDescent="0.25">
      <c r="A42" s="7"/>
      <c r="B42" s="2"/>
      <c r="C42" s="2"/>
      <c r="D42" s="2" t="s">
        <v>37</v>
      </c>
      <c r="E42" s="2"/>
      <c r="F42" s="2"/>
      <c r="G42" s="2"/>
      <c r="H42" s="2"/>
    </row>
    <row r="43" spans="1:14" x14ac:dyDescent="0.25">
      <c r="B43" s="2"/>
      <c r="C43" s="2"/>
      <c r="D43" s="2"/>
      <c r="E43" s="2"/>
      <c r="F43" s="2"/>
      <c r="G43" s="2"/>
      <c r="H43" s="2"/>
    </row>
    <row r="45" spans="1:14" x14ac:dyDescent="0.25">
      <c r="A45" s="28" t="s">
        <v>47</v>
      </c>
      <c r="E45" s="47" t="s">
        <v>38</v>
      </c>
      <c r="F45" s="47"/>
      <c r="G45" s="90"/>
      <c r="H45" s="90"/>
      <c r="I45" s="91" t="s">
        <v>48</v>
      </c>
      <c r="J45" s="91"/>
      <c r="K45" s="91"/>
    </row>
    <row r="46" spans="1:14" s="31" customFormat="1" ht="12" x14ac:dyDescent="0.25">
      <c r="C46" s="32"/>
      <c r="E46" s="92" t="s">
        <v>34</v>
      </c>
      <c r="F46" s="92"/>
      <c r="G46" s="93" t="s">
        <v>35</v>
      </c>
      <c r="H46" s="93"/>
      <c r="I46" s="94" t="s">
        <v>36</v>
      </c>
      <c r="J46" s="94"/>
      <c r="K46" s="94"/>
    </row>
    <row r="47" spans="1:14" x14ac:dyDescent="0.25">
      <c r="D47" s="1" t="s">
        <v>37</v>
      </c>
    </row>
  </sheetData>
  <mergeCells count="68">
    <mergeCell ref="I35:K35"/>
    <mergeCell ref="E45:F45"/>
    <mergeCell ref="G45:H45"/>
    <mergeCell ref="I45:K45"/>
    <mergeCell ref="E46:F46"/>
    <mergeCell ref="G46:H46"/>
    <mergeCell ref="I46:K46"/>
    <mergeCell ref="E41:F41"/>
    <mergeCell ref="G41:H41"/>
    <mergeCell ref="I41:K41"/>
    <mergeCell ref="E40:F40"/>
    <mergeCell ref="G40:H40"/>
    <mergeCell ref="I40:K40"/>
    <mergeCell ref="I34:K34"/>
    <mergeCell ref="B30:D30"/>
    <mergeCell ref="F30:G30"/>
    <mergeCell ref="I30:K30"/>
    <mergeCell ref="B28:D28"/>
    <mergeCell ref="F28:G28"/>
    <mergeCell ref="I28:K28"/>
    <mergeCell ref="B29:D29"/>
    <mergeCell ref="F29:G29"/>
    <mergeCell ref="I29:K29"/>
    <mergeCell ref="A31:H31"/>
    <mergeCell ref="I31:K31"/>
    <mergeCell ref="A32:H32"/>
    <mergeCell ref="I32:K32"/>
    <mergeCell ref="A33:H33"/>
    <mergeCell ref="I33:K33"/>
    <mergeCell ref="A25:K25"/>
    <mergeCell ref="A26:A27"/>
    <mergeCell ref="B26:D27"/>
    <mergeCell ref="E26:E27"/>
    <mergeCell ref="F26:K26"/>
    <mergeCell ref="F27:G27"/>
    <mergeCell ref="I27:K27"/>
    <mergeCell ref="A24:K24"/>
    <mergeCell ref="A16:G16"/>
    <mergeCell ref="I16:K16"/>
    <mergeCell ref="I17:K17"/>
    <mergeCell ref="C13:G13"/>
    <mergeCell ref="H13:H14"/>
    <mergeCell ref="I13:K14"/>
    <mergeCell ref="A14:G14"/>
    <mergeCell ref="A15:H15"/>
    <mergeCell ref="I15:K15"/>
    <mergeCell ref="I18:K18"/>
    <mergeCell ref="H20:K20"/>
    <mergeCell ref="I21:K21"/>
    <mergeCell ref="I22:K22"/>
    <mergeCell ref="A23:K23"/>
    <mergeCell ref="C9:G9"/>
    <mergeCell ref="H9:H10"/>
    <mergeCell ref="I9:K10"/>
    <mergeCell ref="A10:G10"/>
    <mergeCell ref="C11:G11"/>
    <mergeCell ref="H11:H12"/>
    <mergeCell ref="I11:K12"/>
    <mergeCell ref="A12:G12"/>
    <mergeCell ref="C7:G7"/>
    <mergeCell ref="H7:H8"/>
    <mergeCell ref="I7:K8"/>
    <mergeCell ref="A8:G8"/>
    <mergeCell ref="F1:K1"/>
    <mergeCell ref="F2:K2"/>
    <mergeCell ref="F3:K3"/>
    <mergeCell ref="I5:K5"/>
    <mergeCell ref="I6:K6"/>
  </mergeCells>
  <pageMargins left="0.25" right="0.25" top="0.75" bottom="0.75" header="0.3" footer="0.3"/>
  <pageSetup paperSize="9" scale="84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КС3№1</vt:lpstr>
      <vt:lpstr>КС3№1!Область_печати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 Поволжье</dc:creator>
  <cp:lastModifiedBy>Admin</cp:lastModifiedBy>
  <cp:lastPrinted>2026-02-20T17:06:53Z</cp:lastPrinted>
  <dcterms:created xsi:type="dcterms:W3CDTF">2023-03-14T08:05:05Z</dcterms:created>
  <dcterms:modified xsi:type="dcterms:W3CDTF">2026-02-20T17:39:44Z</dcterms:modified>
</cp:coreProperties>
</file>