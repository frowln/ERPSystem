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026"/>
  <workbookPr/>
  <mc:AlternateContent xmlns:mc="http://schemas.openxmlformats.org/markup-compatibility/2006">
    <mc:Choice Requires="x15">
      <x15ac:absPath xmlns:x15ac="http://schemas.microsoft.com/office/spreadsheetml/2010/11/ac" url="C:\Users\260124\Downloads\"/>
    </mc:Choice>
  </mc:AlternateContent>
  <xr:revisionPtr revIDLastSave="0" documentId="13_ncr:1_{8D643FBC-84A0-496C-A669-8A63A4AFE539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Лист1!$A$8:$AX$190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A37" i="1" l="1"/>
  <c r="BA53" i="1" l="1"/>
  <c r="BA43" i="1"/>
  <c r="BA42" i="1"/>
  <c r="BA41" i="1"/>
  <c r="BA40" i="1"/>
  <c r="BA39" i="1"/>
  <c r="BA44" i="1" l="1"/>
  <c r="BA10" i="1" l="1"/>
  <c r="BA9" i="1"/>
  <c r="BA94" i="1"/>
  <c r="BA34" i="1"/>
  <c r="AL44" i="1" l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E18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4" i="1"/>
  <c r="AE185" i="1"/>
  <c r="AE186" i="1"/>
  <c r="AE187" i="1"/>
  <c r="AE188" i="1"/>
  <c r="AE189" i="1"/>
  <c r="AE190" i="1"/>
  <c r="AE43" i="1"/>
  <c r="P191" i="1"/>
  <c r="Q44" i="1"/>
  <c r="S44" i="1" s="1"/>
  <c r="Q45" i="1"/>
  <c r="S45" i="1" s="1"/>
  <c r="Q46" i="1"/>
  <c r="S46" i="1" s="1"/>
  <c r="Q47" i="1"/>
  <c r="S47" i="1" s="1"/>
  <c r="Q48" i="1"/>
  <c r="S48" i="1" s="1"/>
  <c r="Q49" i="1"/>
  <c r="S49" i="1" s="1"/>
  <c r="Q50" i="1"/>
  <c r="S50" i="1" s="1"/>
  <c r="Q51" i="1"/>
  <c r="S51" i="1" s="1"/>
  <c r="Q52" i="1"/>
  <c r="S52" i="1" s="1"/>
  <c r="Q53" i="1"/>
  <c r="S53" i="1" s="1"/>
  <c r="Q54" i="1"/>
  <c r="S54" i="1" s="1"/>
  <c r="Q55" i="1"/>
  <c r="S55" i="1" s="1"/>
  <c r="Q56" i="1"/>
  <c r="S56" i="1" s="1"/>
  <c r="Q57" i="1"/>
  <c r="S57" i="1" s="1"/>
  <c r="Q58" i="1"/>
  <c r="S58" i="1" s="1"/>
  <c r="Q59" i="1"/>
  <c r="S59" i="1" s="1"/>
  <c r="Q60" i="1"/>
  <c r="S60" i="1" s="1"/>
  <c r="Q61" i="1"/>
  <c r="S61" i="1" s="1"/>
  <c r="Q62" i="1"/>
  <c r="S62" i="1" s="1"/>
  <c r="Q63" i="1"/>
  <c r="S63" i="1" s="1"/>
  <c r="Q64" i="1"/>
  <c r="S64" i="1" s="1"/>
  <c r="Q65" i="1"/>
  <c r="S65" i="1" s="1"/>
  <c r="Q66" i="1"/>
  <c r="S66" i="1" s="1"/>
  <c r="Q67" i="1"/>
  <c r="S67" i="1" s="1"/>
  <c r="Q68" i="1"/>
  <c r="S68" i="1" s="1"/>
  <c r="Q69" i="1"/>
  <c r="S69" i="1" s="1"/>
  <c r="Q70" i="1"/>
  <c r="S70" i="1" s="1"/>
  <c r="Q71" i="1"/>
  <c r="S71" i="1" s="1"/>
  <c r="Q72" i="1"/>
  <c r="S72" i="1" s="1"/>
  <c r="Q73" i="1"/>
  <c r="S73" i="1" s="1"/>
  <c r="Q74" i="1"/>
  <c r="S74" i="1" s="1"/>
  <c r="Q75" i="1"/>
  <c r="S75" i="1" s="1"/>
  <c r="Q76" i="1"/>
  <c r="S76" i="1" s="1"/>
  <c r="Q77" i="1"/>
  <c r="S77" i="1" s="1"/>
  <c r="Q78" i="1"/>
  <c r="S78" i="1" s="1"/>
  <c r="Q79" i="1"/>
  <c r="S79" i="1" s="1"/>
  <c r="Q80" i="1"/>
  <c r="S80" i="1" s="1"/>
  <c r="Q81" i="1"/>
  <c r="S81" i="1" s="1"/>
  <c r="Q82" i="1"/>
  <c r="S82" i="1" s="1"/>
  <c r="Q83" i="1"/>
  <c r="S83" i="1" s="1"/>
  <c r="Q84" i="1"/>
  <c r="S84" i="1" s="1"/>
  <c r="Q85" i="1"/>
  <c r="S85" i="1" s="1"/>
  <c r="Q86" i="1"/>
  <c r="S86" i="1" s="1"/>
  <c r="Q87" i="1"/>
  <c r="S87" i="1" s="1"/>
  <c r="Q88" i="1"/>
  <c r="S88" i="1" s="1"/>
  <c r="Q89" i="1"/>
  <c r="S89" i="1" s="1"/>
  <c r="Q90" i="1"/>
  <c r="S90" i="1" s="1"/>
  <c r="Q91" i="1"/>
  <c r="S91" i="1" s="1"/>
  <c r="Q92" i="1"/>
  <c r="S92" i="1" s="1"/>
  <c r="Q93" i="1"/>
  <c r="S93" i="1" s="1"/>
  <c r="Q94" i="1"/>
  <c r="S94" i="1" s="1"/>
  <c r="Q95" i="1"/>
  <c r="S95" i="1" s="1"/>
  <c r="Q96" i="1"/>
  <c r="S96" i="1" s="1"/>
  <c r="Q97" i="1"/>
  <c r="S97" i="1" s="1"/>
  <c r="Q98" i="1"/>
  <c r="S98" i="1" s="1"/>
  <c r="Q99" i="1"/>
  <c r="S99" i="1" s="1"/>
  <c r="Q100" i="1"/>
  <c r="S100" i="1" s="1"/>
  <c r="Q101" i="1"/>
  <c r="S101" i="1" s="1"/>
  <c r="Q102" i="1"/>
  <c r="Q103" i="1"/>
  <c r="S103" i="1" s="1"/>
  <c r="Q104" i="1"/>
  <c r="S104" i="1" s="1"/>
  <c r="Q105" i="1"/>
  <c r="S105" i="1" s="1"/>
  <c r="Q106" i="1"/>
  <c r="S106" i="1" s="1"/>
  <c r="Q107" i="1"/>
  <c r="S107" i="1" s="1"/>
  <c r="Q108" i="1"/>
  <c r="S108" i="1" s="1"/>
  <c r="Q109" i="1"/>
  <c r="S109" i="1" s="1"/>
  <c r="Q110" i="1"/>
  <c r="S110" i="1" s="1"/>
  <c r="Q111" i="1"/>
  <c r="S111" i="1" s="1"/>
  <c r="Q112" i="1"/>
  <c r="S112" i="1" s="1"/>
  <c r="Q113" i="1"/>
  <c r="S113" i="1" s="1"/>
  <c r="Q114" i="1"/>
  <c r="S114" i="1" s="1"/>
  <c r="Q115" i="1"/>
  <c r="S115" i="1" s="1"/>
  <c r="Q116" i="1"/>
  <c r="S116" i="1" s="1"/>
  <c r="Q117" i="1"/>
  <c r="S117" i="1" s="1"/>
  <c r="Q118" i="1"/>
  <c r="S118" i="1" s="1"/>
  <c r="Q119" i="1"/>
  <c r="S119" i="1" s="1"/>
  <c r="Q120" i="1"/>
  <c r="S120" i="1" s="1"/>
  <c r="Q121" i="1"/>
  <c r="S121" i="1" s="1"/>
  <c r="Q122" i="1"/>
  <c r="S122" i="1" s="1"/>
  <c r="Q123" i="1"/>
  <c r="S123" i="1" s="1"/>
  <c r="Q124" i="1"/>
  <c r="S124" i="1" s="1"/>
  <c r="Q125" i="1"/>
  <c r="S125" i="1" s="1"/>
  <c r="Q126" i="1"/>
  <c r="S126" i="1" s="1"/>
  <c r="Q127" i="1"/>
  <c r="S127" i="1" s="1"/>
  <c r="Q128" i="1"/>
  <c r="S128" i="1" s="1"/>
  <c r="Q129" i="1"/>
  <c r="S129" i="1" s="1"/>
  <c r="Q130" i="1"/>
  <c r="S130" i="1" s="1"/>
  <c r="Q131" i="1"/>
  <c r="S131" i="1" s="1"/>
  <c r="Q132" i="1"/>
  <c r="S132" i="1" s="1"/>
  <c r="Q133" i="1"/>
  <c r="S133" i="1" s="1"/>
  <c r="Q134" i="1"/>
  <c r="S134" i="1" s="1"/>
  <c r="Q135" i="1"/>
  <c r="S135" i="1" s="1"/>
  <c r="Q136" i="1"/>
  <c r="S136" i="1" s="1"/>
  <c r="Q137" i="1"/>
  <c r="S137" i="1" s="1"/>
  <c r="Q138" i="1"/>
  <c r="S138" i="1" s="1"/>
  <c r="Q139" i="1"/>
  <c r="S139" i="1" s="1"/>
  <c r="Q140" i="1"/>
  <c r="S140" i="1" s="1"/>
  <c r="Q141" i="1"/>
  <c r="S141" i="1" s="1"/>
  <c r="Q142" i="1"/>
  <c r="S142" i="1" s="1"/>
  <c r="Q143" i="1"/>
  <c r="S143" i="1" s="1"/>
  <c r="Q144" i="1"/>
  <c r="S144" i="1" s="1"/>
  <c r="Q145" i="1"/>
  <c r="S145" i="1" s="1"/>
  <c r="Q146" i="1"/>
  <c r="S146" i="1" s="1"/>
  <c r="Q147" i="1"/>
  <c r="S147" i="1" s="1"/>
  <c r="Q148" i="1"/>
  <c r="S148" i="1" s="1"/>
  <c r="Q149" i="1"/>
  <c r="S149" i="1" s="1"/>
  <c r="Q150" i="1"/>
  <c r="S150" i="1" s="1"/>
  <c r="Q151" i="1"/>
  <c r="S151" i="1" s="1"/>
  <c r="Q152" i="1"/>
  <c r="S152" i="1" s="1"/>
  <c r="Q153" i="1"/>
  <c r="S153" i="1" s="1"/>
  <c r="Q154" i="1"/>
  <c r="S154" i="1" s="1"/>
  <c r="Q155" i="1"/>
  <c r="S155" i="1" s="1"/>
  <c r="Q156" i="1"/>
  <c r="S156" i="1" s="1"/>
  <c r="Q157" i="1"/>
  <c r="S157" i="1" s="1"/>
  <c r="Q158" i="1"/>
  <c r="S158" i="1" s="1"/>
  <c r="Q159" i="1"/>
  <c r="S159" i="1" s="1"/>
  <c r="Q160" i="1"/>
  <c r="S160" i="1" s="1"/>
  <c r="Q161" i="1"/>
  <c r="S161" i="1" s="1"/>
  <c r="Q162" i="1"/>
  <c r="S162" i="1" s="1"/>
  <c r="Q163" i="1"/>
  <c r="S163" i="1" s="1"/>
  <c r="Q164" i="1"/>
  <c r="S164" i="1" s="1"/>
  <c r="Q165" i="1"/>
  <c r="S165" i="1" s="1"/>
  <c r="Q166" i="1"/>
  <c r="S166" i="1" s="1"/>
  <c r="Q167" i="1"/>
  <c r="S167" i="1" s="1"/>
  <c r="Q168" i="1"/>
  <c r="S168" i="1" s="1"/>
  <c r="Q169" i="1"/>
  <c r="S169" i="1" s="1"/>
  <c r="Q170" i="1"/>
  <c r="S170" i="1" s="1"/>
  <c r="Q171" i="1"/>
  <c r="S171" i="1" s="1"/>
  <c r="Q172" i="1"/>
  <c r="S172" i="1" s="1"/>
  <c r="Q173" i="1"/>
  <c r="S173" i="1" s="1"/>
  <c r="Q174" i="1"/>
  <c r="S174" i="1" s="1"/>
  <c r="Q175" i="1"/>
  <c r="S175" i="1" s="1"/>
  <c r="Q176" i="1"/>
  <c r="S176" i="1" s="1"/>
  <c r="Q177" i="1"/>
  <c r="S177" i="1" s="1"/>
  <c r="Q178" i="1"/>
  <c r="S178" i="1" s="1"/>
  <c r="Q179" i="1"/>
  <c r="S179" i="1" s="1"/>
  <c r="Q180" i="1"/>
  <c r="S180" i="1" s="1"/>
  <c r="Q181" i="1"/>
  <c r="S181" i="1" s="1"/>
  <c r="Q182" i="1"/>
  <c r="S182" i="1" s="1"/>
  <c r="Q183" i="1"/>
  <c r="S183" i="1" s="1"/>
  <c r="Q184" i="1"/>
  <c r="S184" i="1" s="1"/>
  <c r="Q185" i="1"/>
  <c r="S185" i="1" s="1"/>
  <c r="Q186" i="1"/>
  <c r="S186" i="1" s="1"/>
  <c r="Q187" i="1"/>
  <c r="S187" i="1" s="1"/>
  <c r="Q188" i="1"/>
  <c r="S188" i="1" s="1"/>
  <c r="Q189" i="1"/>
  <c r="S189" i="1" s="1"/>
  <c r="Q190" i="1"/>
  <c r="S190" i="1" s="1"/>
  <c r="J191" i="1"/>
  <c r="S102" i="1" l="1"/>
  <c r="N191" i="1" l="1"/>
  <c r="D191" i="1"/>
  <c r="AL43" i="1"/>
  <c r="AL42" i="1"/>
  <c r="AI42" i="1"/>
  <c r="AI43" i="1"/>
  <c r="AG42" i="1"/>
  <c r="AG43" i="1"/>
  <c r="AE42" i="1"/>
  <c r="Q43" i="1"/>
  <c r="S43" i="1" s="1"/>
  <c r="Q42" i="1"/>
  <c r="S42" i="1" s="1"/>
  <c r="C191" i="1" l="1"/>
  <c r="AL41" i="1" l="1"/>
  <c r="AI41" i="1"/>
  <c r="AG41" i="1"/>
  <c r="AE41" i="1"/>
  <c r="Q41" i="1"/>
  <c r="S41" i="1" l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L18" i="1"/>
  <c r="AL17" i="1"/>
  <c r="AL16" i="1"/>
  <c r="AL15" i="1"/>
  <c r="AL14" i="1"/>
  <c r="AL13" i="1"/>
  <c r="AL12" i="1"/>
  <c r="AL11" i="1"/>
  <c r="AL10" i="1"/>
  <c r="AL9" i="1"/>
  <c r="AI18" i="1"/>
  <c r="AI17" i="1"/>
  <c r="AI16" i="1"/>
  <c r="AI15" i="1"/>
  <c r="AI14" i="1"/>
  <c r="AI13" i="1"/>
  <c r="AI12" i="1"/>
  <c r="AI11" i="1"/>
  <c r="AI10" i="1"/>
  <c r="AI9" i="1"/>
  <c r="AG18" i="1"/>
  <c r="AG17" i="1"/>
  <c r="AG16" i="1"/>
  <c r="AG15" i="1"/>
  <c r="AG14" i="1"/>
  <c r="AG13" i="1"/>
  <c r="AG12" i="1"/>
  <c r="AG11" i="1"/>
  <c r="AG10" i="1"/>
  <c r="AG9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18" i="1"/>
  <c r="AE17" i="1"/>
  <c r="AE16" i="1"/>
  <c r="AE15" i="1"/>
  <c r="AE14" i="1"/>
  <c r="AE13" i="1"/>
  <c r="AE12" i="1"/>
  <c r="AE11" i="1"/>
  <c r="AE10" i="1"/>
  <c r="AE9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18" i="1"/>
  <c r="Q17" i="1"/>
  <c r="S17" i="1" s="1"/>
  <c r="Q16" i="1"/>
  <c r="S16" i="1" s="1"/>
  <c r="Q15" i="1"/>
  <c r="Q14" i="1"/>
  <c r="Q13" i="1"/>
  <c r="S13" i="1" s="1"/>
  <c r="Q12" i="1"/>
  <c r="Q11" i="1"/>
  <c r="Q10" i="1"/>
  <c r="Q9" i="1"/>
  <c r="S9" i="1" s="1"/>
  <c r="S15" i="1" l="1"/>
  <c r="Q191" i="1"/>
  <c r="AE191" i="1"/>
  <c r="AG191" i="1"/>
  <c r="AL191" i="1"/>
  <c r="AI191" i="1"/>
  <c r="S12" i="1"/>
  <c r="S11" i="1"/>
  <c r="S18" i="1"/>
  <c r="S14" i="1"/>
  <c r="S10" i="1"/>
  <c r="S39" i="1"/>
  <c r="S37" i="1"/>
  <c r="S31" i="1"/>
  <c r="S29" i="1"/>
  <c r="S27" i="1"/>
  <c r="S23" i="1"/>
  <c r="S19" i="1"/>
  <c r="S40" i="1"/>
  <c r="S38" i="1"/>
  <c r="S36" i="1"/>
  <c r="S34" i="1"/>
  <c r="S32" i="1"/>
  <c r="S30" i="1"/>
  <c r="S28" i="1"/>
  <c r="S26" i="1"/>
  <c r="S24" i="1"/>
  <c r="S22" i="1"/>
  <c r="S20" i="1"/>
  <c r="S35" i="1"/>
  <c r="S33" i="1"/>
  <c r="S25" i="1"/>
  <c r="S21" i="1"/>
  <c r="S191" i="1" l="1"/>
  <c r="E191" i="1"/>
</calcChain>
</file>

<file path=xl/sharedStrings.xml><?xml version="1.0" encoding="utf-8"?>
<sst xmlns="http://schemas.openxmlformats.org/spreadsheetml/2006/main" count="4373" uniqueCount="416">
  <si>
    <t>№ п/п</t>
  </si>
  <si>
    <t>Предприятие</t>
  </si>
  <si>
    <t>Стоимость и кол-во по соглашению, рублей</t>
  </si>
  <si>
    <t>Завезено на территорию предприятия (с учетом принятого)</t>
  </si>
  <si>
    <t>Принято (оформлены документы)</t>
  </si>
  <si>
    <t>Смонтировано в проектное положение (Введено, смонтировано, не требует монтажа)</t>
  </si>
  <si>
    <t>Введено в эксплуатацию (оформлены документы)</t>
  </si>
  <si>
    <t>№ таможенной декларации</t>
  </si>
  <si>
    <t>Претензионная работа</t>
  </si>
  <si>
    <t>Контакты поставщиков
(ФИО, моб. телефон)</t>
  </si>
  <si>
    <t>Контакты производителей
(ФИО, моб. телефон)</t>
  </si>
  <si>
    <t>Место монтажа оборудования</t>
  </si>
  <si>
    <t>Примечание</t>
  </si>
  <si>
    <t>единицы</t>
  </si>
  <si>
    <t>Кол-во</t>
  </si>
  <si>
    <t>Итого</t>
  </si>
  <si>
    <t>Наименование оборудования</t>
  </si>
  <si>
    <t>Модель оборудования, артикул</t>
  </si>
  <si>
    <t>Изготовитель</t>
  </si>
  <si>
    <t>Альтернативный изготовитель</t>
  </si>
  <si>
    <t>Кол-во, шт.</t>
  </si>
  <si>
    <t>Страна происхождения</t>
  </si>
  <si>
    <t>Серийный номер</t>
  </si>
  <si>
    <t>Договор в иностранной валюте, 
да/нет</t>
  </si>
  <si>
    <t>Стоимость договора в иностранной валюте</t>
  </si>
  <si>
    <t>Вид валюты</t>
  </si>
  <si>
    <t>Стоимость по договору поставки за ед. руб.</t>
  </si>
  <si>
    <t>Общая стоимость по договору поставки, руб.</t>
  </si>
  <si>
    <t>Форма оплаты по договору (аванс в процентах/постоплата)</t>
  </si>
  <si>
    <t>Прогнозная экономия</t>
  </si>
  <si>
    <t>№ договора поставки, дата</t>
  </si>
  <si>
    <t>Поставщик с кем заключен договор поставки</t>
  </si>
  <si>
    <t>ИНН поставщика</t>
  </si>
  <si>
    <t>Фактически оплачено по договору в рублях</t>
  </si>
  <si>
    <t>Фактически оплачено по договору в валюте</t>
  </si>
  <si>
    <t>Дата поставки по договору</t>
  </si>
  <si>
    <t>Прогнозный срок поставки</t>
  </si>
  <si>
    <t>Дата фактической поставки</t>
  </si>
  <si>
    <t>Дата завершения монтажа прогнозная</t>
  </si>
  <si>
    <t>Дата завершения монтажа фактическая</t>
  </si>
  <si>
    <t>Единицы</t>
  </si>
  <si>
    <t>Рубли</t>
  </si>
  <si>
    <t>Дата (до момента ввода в эксплуатацию - прогноз, потом факт)</t>
  </si>
  <si>
    <t>Наличие претензинной работы</t>
  </si>
  <si>
    <t>Сумма начисленных пеней и штрафов, руб.</t>
  </si>
  <si>
    <t>Сумма фактически взысканных пеней и штрафов, руб.</t>
  </si>
  <si>
    <t>Здание/цех</t>
  </si>
  <si>
    <t xml:space="preserve">Прогнозная дата строительной готовности под монтаж </t>
  </si>
  <si>
    <t>ИТОГО</t>
  </si>
  <si>
    <t>-</t>
  </si>
  <si>
    <t>аванс в процентах</t>
  </si>
  <si>
    <t>СВОДНЫЙ РЕЕСТР ТЕХНОЛОГИЧЕСКОГО ОБОРУДОВАНИЯ</t>
  </si>
  <si>
    <t>АО "Соликамский завод "Урал"</t>
  </si>
  <si>
    <t>Насос масленый шестеренный для перекачивания глицерина из автоцистерны в емкости.
Производительность 6,3 м3/ч, габаритные размеры,мм: 780х350х350, Энергопотребление: 220/380В/N эл. дв. 2,5 кВт,
n = 1450 об/мин. (взрывозащищенное исполнение)</t>
  </si>
  <si>
    <t xml:space="preserve">Насос масленый шестеренный для перекачивания ДЭГА из тары поставщика  в емкость хранения.
Производительность 6,3 м3/ч, габаритные размеры, мм: 780х350х350, Энергопотребление: 220/380В/Nэл.дв. 2,5 кВт, n=1450 об/мин. (взрывозащищенное исполнение)  </t>
  </si>
  <si>
    <t>Насос дозировочный. 
Подача 250 л/ч, давление подачи 16 атм., габаритные размеры, мм: 580х273х590, энергопотребление: Nэл.дв. - 0,55кВт,  Материал 12Х18Н10Т.   (Исполнение взрывозащищенное)</t>
  </si>
  <si>
    <t>Емкость для хранения ДЭГа с поплавковым уровнемером 
V раб. - 3м3 , диаметр 1400 мм, высота 2230 мм, высота общая 2648 мм.</t>
  </si>
  <si>
    <t xml:space="preserve">Емкость для хранения ТЭГа с поплавковым уровнемером 
V раб. - 3м3 , диаметр 1400 мм, высота 2230 мм, высота общая 2648 мм. </t>
  </si>
  <si>
    <t>Емкость для хранения смеси спиртов с поплавковым уровнемером
Диаметр 1400 мм, высота 2230 мм, высота общая 2648 мм. V  рабочий =3 м3</t>
  </si>
  <si>
    <t xml:space="preserve">Теплообменник. Технические характеристики:
для подогрева глицерина. Поверхность теплообмена 0,3м2 </t>
  </si>
  <si>
    <t xml:space="preserve">Емкость  для хранения глицерина. Технические характеристики:
с уровнемером
Vрабочий =11 м3 диаметр 2000мм, высотой 3810мм </t>
  </si>
  <si>
    <t xml:space="preserve">Насос дозировочный.
Подача 160 л/ч. Давление подачи 25 кгс/см2. Габаритные размеры 580х273х590 мм. Энергопотребление: Nэл.дв.-0,55 кВт, n=1500 об/мин. Материал-12Х18Н9Т. Исполнение взрывозащищенное. </t>
  </si>
  <si>
    <t>НМШГ 8-25-6,3/10</t>
  </si>
  <si>
    <t xml:space="preserve">НД 1,0-250/16-М-К-1-В </t>
  </si>
  <si>
    <t>4Ц233-00000</t>
  </si>
  <si>
    <t>4Ц639-00000</t>
  </si>
  <si>
    <t>29072-00000</t>
  </si>
  <si>
    <t>НД 0,5Р-160/25-П-К-1-В</t>
  </si>
  <si>
    <t>Мерник для сбора спирта из циркуляционной линии после окончания процесса,
Диаметр 100 мм, высота 1000мм.</t>
  </si>
  <si>
    <t>Мерник для контроля расхода спирта при тарировании насоса-дозатора поз.21
Стеклянная цилиндрическая емкость диаметром 100мм, высотой 1000мм. Внутри емкости установлен поплавок, соединенный с системой измерения (микропроцессорной системой контроля и управления)</t>
  </si>
  <si>
    <t>Теплообменник для подогрева воды на стабилизацию и инжектирование нитроэфира. Поверхность теплообмена 0,3м2</t>
  </si>
  <si>
    <t>Теплообменник для охлаждения воды на инжектирование кислотного нитроэфира (малогабаритный). Поверхность теплообмена 0,4м2</t>
  </si>
  <si>
    <t>Теплообменник для подогрева спирта перед подачей на нитрацию, поверхность теплообмена 0,3м2</t>
  </si>
  <si>
    <t xml:space="preserve">Теплообменник для подогрева воды для стабилизации нитроэфира, поверхность теплообмена - 0,3м2 </t>
  </si>
  <si>
    <t>Фильтр содовый</t>
  </si>
  <si>
    <t>Фильтр для глицерина</t>
  </si>
  <si>
    <t>Ларь для соды . Габаритные размеры 700х900х460 мм</t>
  </si>
  <si>
    <t>Тележка</t>
  </si>
  <si>
    <t>Насос дозировочный плунжерный. 
Подача 400 л/ч, давление подачи 10 кгс/см2, Энергопотребление: Nэл.дв.- 0,55кВт, Материал 12Х18Н10Т. Исполнение взрывозащищенное.</t>
  </si>
  <si>
    <t>Насос дозировочный плунжерный с двумя независимыми гидравликами. 
Подача 250 л/ч (на 1 гидравлику), давление подачи 10 кгс/см2, Энергопотребление: Nэл.дв.- 1,1кВт, n=1500об/мин, Материал 12Х18Н9Т. Исполнение взрывозащищенное.</t>
  </si>
  <si>
    <t xml:space="preserve">Насос дозировочный с двумя независимыми гидравликами.  Подача 250 л/ч (на 1 гидравлику), давление подачи 10 кгс/см2, энергопотребление: Nэл.дв.- 1,1кВт, n=1500 об/мин. Материал - 12Х18Н9Т. Исполнение взрывозащищенное. </t>
  </si>
  <si>
    <t xml:space="preserve">Насос дозировочный с двумя независимыми гидравликами.  Подача 160 л/ч (на 1 гидравлику), давление подачи 10 кгс/см2, Энергопотребление: Nэл.дв.- 0,55кВт, n=1500об/мин. Материал 12Х18Н9Т. Исполнение взрывозащищенное. </t>
  </si>
  <si>
    <t>Водоумягчительная установка ВПУ-1,0.
Производительность - 1,0м3/ч, рабочее давление, Мпа (кгс/см2) - 0,6 (6,0), температура среды - 40град., габаритные размеры, мм: 1765х865х1605</t>
  </si>
  <si>
    <t>Емкость для умягченной воды Vрабочий - 100 л.</t>
  </si>
  <si>
    <t>Емкость для холодной воды Vрабочий - 100 л.</t>
  </si>
  <si>
    <t>Весы электронные . 
Габаритные размеры, мм: 180х220х85, энергопотребление: 220В/50Гц/0,05кВт</t>
  </si>
  <si>
    <t>Стол производственный СПРп 860х1500х800 с полкой обвязкой (с бортом)
Габаритные размеры, мм: 1500х900х750</t>
  </si>
  <si>
    <t>Пневмоклапан</t>
  </si>
  <si>
    <t>4Ц926-00000</t>
  </si>
  <si>
    <t>Р.18549</t>
  </si>
  <si>
    <t>4Ц622-00000</t>
  </si>
  <si>
    <t>4Ц666-00000</t>
  </si>
  <si>
    <t>4Ц.750-00000</t>
  </si>
  <si>
    <t>4Ц.264-00000</t>
  </si>
  <si>
    <t>7241-00-00</t>
  </si>
  <si>
    <t>4Ц.472-00000</t>
  </si>
  <si>
    <t xml:space="preserve">НД 1,0-Р-400/10- П- К-1-В </t>
  </si>
  <si>
    <t>НД 1,0-Р-500/10-П- К-1-В</t>
  </si>
  <si>
    <t>ВПУ-1,0</t>
  </si>
  <si>
    <t xml:space="preserve"> 71467-00000</t>
  </si>
  <si>
    <t>ВК-1500</t>
  </si>
  <si>
    <t>ПОУ-8М 710 20 Л 03 У</t>
  </si>
  <si>
    <t>ПОУ-8М 710 23 Л 03 У</t>
  </si>
  <si>
    <t>ПОУ-7М 706 91 Л 03 У</t>
  </si>
  <si>
    <t>ПОУ-8М 710 53 Л 03 У</t>
  </si>
  <si>
    <t>Шкаф вытяжной для выпаривания кислот
Габаритные размеры, мм: 1200х850х2450</t>
  </si>
  <si>
    <t>Приобретен шкаф ЛАБ-PRO ШВК 120.84.230 С20;VI</t>
  </si>
  <si>
    <t>Бак кислоты. Технические характеристики:
для хранения и расходования нитрующей кислотной смеси. Диаметр 1800, высота 2500 мм, Vрабочий-6м3</t>
  </si>
  <si>
    <t>Насос дозировочный мембранный с двумя независимыми гидравликами.
Подача 630 л/ч (на 1 гидравлику), давление подачи 10 кгс/см2, Энергопотребление: Nэл.дв. - 5,5 кВт, n=1500об/мин.  Материал 12Х18Н9Т.  (Исполнение взрывозащищенное.)</t>
  </si>
  <si>
    <t>Насос дозировочный мембранный.
Подача 630 л/ч, давление подачи 10 кгс/см2, габаритные размеры, мм: 715х563х697. Nэл.дв. 1,1 кВт.  Материал 12Х18Н10Т  (Исполнение взрывозащищенное )</t>
  </si>
  <si>
    <t>Насос дозировочный.
Подача 100 л/ч, давление подачи 10 кгс/см2, габаритные размеры, мм 475х350х445. Энергопотребление: Nэл.дв. - 0,25 кВт. Материал 12Х18Н10Т.  (Исполнение взрывозащищенное)</t>
  </si>
  <si>
    <t>Фильтр для кислоты</t>
  </si>
  <si>
    <t>Центрифуга (комплектацию изделия заказывать в соответствии с исходными требованиями, том 27)                        
Энергопотребление: Nэл. дв. 4,0 кВт, n-2900 об/мин, тип КОНФ 31-2, N 4,5 кВт, n=2900 об/мин (взрывозащищенное исполнение)</t>
  </si>
  <si>
    <t>Контрольный сепаратор
Диаметр 700мм; высота с подставкой 1940мм; Vрабочий -200л</t>
  </si>
  <si>
    <t>Инжектор (для транспортирования нитроэфира)    
Напор развиваемый инжектором 0,75 кгс/см2 
Потребный напор воды (расчетный) перед инжектором 7,2 кгс/см2,  L=242 мм
Подача 233 кг/час, материал: сталь 12Х18Н10Т</t>
  </si>
  <si>
    <t>Специальный регулирующий клапан для отработанных кислот Ду=32 (для регулирования уровня в контрольном сепараторе)</t>
  </si>
  <si>
    <t>Контрольная емкость (для приема нитроэфира из центрифуги и контрольного сепаратора) 
Высота общая 480 мм, 
высота емкости 350 мм, 
диаметр внутренний 50 мм. 
Материал: сталь 12Х18Н10Т</t>
  </si>
  <si>
    <t xml:space="preserve">Бак для улова паров нитроэфира и кислот от аппаратов поз. 4, 5, 32.1.                    
Диаметр 300 мм. Высота 736 </t>
  </si>
  <si>
    <t xml:space="preserve">Эжектор к местному отсосу для создания разрежения в баке для улова. 
Диаметр 160 мм. Высота 702 мм. </t>
  </si>
  <si>
    <t xml:space="preserve">Аппарат промывной центрального действия. 
Подача 800 кг/час. Энергопотребление: N э/дв. - 13 кВт, n=3000 об/мин. (взрывозащищенное исполнение)   </t>
  </si>
  <si>
    <t xml:space="preserve">Бачок (для приема нитроэфира)
Диаметр 300 мм. Высота 300 мм. V рабочий -15л    </t>
  </si>
  <si>
    <t>Бачок для инжектирования. Технические характеристики:
для приема навесок нитроэфира.
Диаметр 250 мм. Высота 400 мм. V рабочий -16л</t>
  </si>
  <si>
    <t xml:space="preserve">Инжектор (для транспортирования нитроэфира). 
Напор развиваемый инжектором 0,75 кгс/см2, потребный напор воды (расчетный) перед инжектором 7,2 кгс/см2, L=242 мм, Подача 233 кг/ч. </t>
  </si>
  <si>
    <t>Лабиринт (для приема слабой отработанной кислотной смеси из промывного аппарата)
Ширина 290 мм, глубина 600 мм, высота 325/460 мм, рабочий объем 50 л.</t>
  </si>
  <si>
    <t>Лабиринт (для приема отработанных вод и содового раствора из промывного аппарата и отделившегося нитроэфира) 
Ширина 290 мм, глубина 600 мм, высота 325/460 мм; рабочий объем 50 л.</t>
  </si>
  <si>
    <t>Инжектор (для транспортирования эмульсии нитроэфира). Производительность 30 кг/ч. Длина 110 мм. Высота подъема эмульсии 3,5 м.</t>
  </si>
  <si>
    <t>Инжектор (для транспортирования эмульсии нитроэфира). Подача 30 кг/ч. Длина 110 мм. Высота подъема эмульсии 3,5 м.</t>
  </si>
  <si>
    <t xml:space="preserve">Емкость для отбора проб нитроэфира научным подразделением. 
Диаметр 120 мм, высота 260 мм, рабочий объем 3л. </t>
  </si>
  <si>
    <t>Пневмозажим разделитель потока 
(Марка стали 12Х18Н10Т)</t>
  </si>
  <si>
    <t>Пневмозажим для дистанционной передачи остатков нитроэфира в бачок 8  dy=15 мм.</t>
  </si>
  <si>
    <t>Пневмозажим на линии подачи нитроэфира из лабиринта поз.12 в бачок 8.2</t>
  </si>
  <si>
    <t>Пневмозажим на линии подачи отработанных вод из лабиринта поз.12 в канализацию</t>
  </si>
  <si>
    <t xml:space="preserve">Пневмозажим установлен у лабиринта поз.12, предназначен для дистанционного открытия линии слива продукта из лабиринта в лабиринт </t>
  </si>
  <si>
    <t>Пневмозажим</t>
  </si>
  <si>
    <t>Контрольная емкость (для приема нитроэфира из промывного аппарата). 
Высота общая 210 мм, глубина 175 мм, диаметр внутренний 205 мм.</t>
  </si>
  <si>
    <t>Бак для улова  паров нитроэфира и кислот от поз. 7, 32,2. 
Диаметр 300 мм. Высота 736 мм</t>
  </si>
  <si>
    <t>Эжектор к местному отсосу для создания разрежения в баке для улова.
Диаметр 160 мм. Высота 702 мм</t>
  </si>
  <si>
    <t>Устройство определения кислотности «Поиск»</t>
  </si>
  <si>
    <t>Весы электронные (взвешивающие устройство для взвешивания нитроэфиров), погрешность весов не более 0,2 %. 
В комплекте: весоизмерительная платформа, весоизмерительный терминал ВТ-1 (IP-65), модуль аналогового выхода интерфейсы для связи с ПК и внешними устройствами</t>
  </si>
  <si>
    <t>Автоцистерна к "ЗИЛ 157". Технические характеристики: для хранения и расходования вытеснительной кислотной смеси. 
Диаметр 1200мм, длина 2040 мм, V-2 м3</t>
  </si>
  <si>
    <t>Реактор. Технические характеристики:
для разложения нитротел в крепкой отработанной кислоте. 
(Диаметр 700мм, высота 1845 мм; Vрабочий - 200 л. Мешалка пропеллерная n-1300 об/мин.  Электродвигатель ВАО 21-4 (исп. 1ЕхdIIBT4), N - 1,1 кВт.</t>
  </si>
  <si>
    <t>Холодильник. Технические характеристики:
для охлаждения обезвреженной кислотной смеси после разложения.
Длина 1422 мм, диаметр 400 мм. Поверхность теплообмена 7,5 м2</t>
  </si>
  <si>
    <t>Емкость буферная (бак для сбора обезвреженной кислоты)  Рабочий объем 0,1 м3</t>
  </si>
  <si>
    <t>Конденсатор холодильник (для охлаждения нитрозных газов). Диаметр 400 мм, высота 1480 мм. Поверхность теплообмена 5,3 м2</t>
  </si>
  <si>
    <t>Насос-дозатор для подачи вытеснительной кислотной смеси из емкости поз. 27 в контрольный сепаратор поз. 5
Материал - 12Х18Н10Т. Подача 100л/ч, Давление подачи 10 кгс/см2, Габаритные размеры, мм: 475х350х445, Энергопотребление: Nэл.дв. - 0,25 кВт (взрывозащищенное исполнение)</t>
  </si>
  <si>
    <t xml:space="preserve">Насос центробежный химический (для перекачивания обезвреженной кислотной смеси из бака для сбора кислоты поз. 35 в хранилище отработанной кислоты поз.78)
Подача 3,0 м3/ч, напор 15 м, габаритные размеры, мм: 715х400х339. Энергопотребление: Nэл.дв.  3,0 кВт.  (взрывозащищенное исполнение)  </t>
  </si>
  <si>
    <t xml:space="preserve">Инжектор (для нитрации спирта)   
Производительность 180-250 кг/час 
Потребный напор  3-4 кг/см2             
Длина 243 мм                   </t>
  </si>
  <si>
    <t>Холодильник (для эмульсии нитроэфира) 
Хладагент - полипропилен   45-55% ,                                                             
Диаметр 500мм, высота 1170мм, Vрабочий-5,4л</t>
  </si>
  <si>
    <t>Холодильник (для нитрующей кислотной смеси)  
Хладагент - полипропилен 45-55 %,
Диаметр 600мм, высота 1150мм, Vрабочий-8л</t>
  </si>
  <si>
    <t>Клапан подачи спирта. Технические характеристики: 
для подачи спирта в инжектор-нитратор
(Марка стали 12Х18Н10Т)</t>
  </si>
  <si>
    <t>Клапан регулировки вакуума. Технические характеристики:
для обеспечения в инжекторе-нитраторе вакуума в заданных пределах и сброса вакуума. 
(Марка стали 12Х18Н10Т)</t>
  </si>
  <si>
    <t>Обратный клапан. Технические характеристики:
для прекращения подачи спирта в инжектор-нитратор при падении вакуума и для циркуляции спирта. 
(Марка стали 12Х18Н10Т)</t>
  </si>
  <si>
    <t>Р.20177.00.000</t>
  </si>
  <si>
    <t xml:space="preserve">НД 1,0-Р-1260/10-М-К-1-В-У4 </t>
  </si>
  <si>
    <t xml:space="preserve">НД 0,5Р-630/10-М-К-1-В </t>
  </si>
  <si>
    <t>НД 0,5Р-100/10-М-К-1-В</t>
  </si>
  <si>
    <t xml:space="preserve">ЦТА-2М 
404.128.000 </t>
  </si>
  <si>
    <t>Р.22495-00000</t>
  </si>
  <si>
    <t>4Ц268-00000</t>
  </si>
  <si>
    <t xml:space="preserve"> КМР ЛГ 111 Нж 32 6,3 Л А НО У</t>
  </si>
  <si>
    <t>Р.20840.00.000</t>
  </si>
  <si>
    <t>Н-434882</t>
  </si>
  <si>
    <t>Н-436855</t>
  </si>
  <si>
    <t>АПЦ-800М 
404.120.000</t>
  </si>
  <si>
    <t xml:space="preserve"> 72522-00000</t>
  </si>
  <si>
    <t>Р.20355.00000</t>
  </si>
  <si>
    <t>17005-00000</t>
  </si>
  <si>
    <t>4Ц290-00000</t>
  </si>
  <si>
    <t>4Ц 277-00000</t>
  </si>
  <si>
    <t>4Ц 733-00000</t>
  </si>
  <si>
    <t xml:space="preserve"> 5632.02.000</t>
  </si>
  <si>
    <t xml:space="preserve"> 21208-00000
№91-24</t>
  </si>
  <si>
    <t>19000-00000</t>
  </si>
  <si>
    <t>4Ц460-00000</t>
  </si>
  <si>
    <t>Р.11853</t>
  </si>
  <si>
    <t>Р-5843 0-0</t>
  </si>
  <si>
    <t xml:space="preserve"> АХ40-25-160К-СД-У2 и
АХ3-15К-СД-У2</t>
  </si>
  <si>
    <t>4Ц324-00000</t>
  </si>
  <si>
    <t>114.61.000</t>
  </si>
  <si>
    <t>Р.16879</t>
  </si>
  <si>
    <t>4Ц688-00000</t>
  </si>
  <si>
    <t>4Ц693-00000</t>
  </si>
  <si>
    <t>4Ц690-00300</t>
  </si>
  <si>
    <t>Цех № 3</t>
  </si>
  <si>
    <t>Насос центробежный химический
Подача 6,3 м.куб./час, напор 32м, габаритные размеры: 936х418х339мм, энергопотребление Nэл.дв.=5,5 кВт, n=2900 об/мин, материал 12Х18НХ9Т, исполнение взрывозащищенное</t>
  </si>
  <si>
    <t>Насос дозировочный 
Материал - 12Х18Н9Т. Подача 2500 л/ч Давление подачи 10 кгс/см2 Энергопотребление: Nэл.дв. -3,0 кВт, n=1500 об/мин.Исполнение взрывозащищенное</t>
  </si>
  <si>
    <t>Хранилище отработанной кислоты  для хранения обезвреженной кислоты
Диаметр 2860мм,  длина 4990 мм, Vрабочий-32м3, материал - 12Х18Н10Т.</t>
  </si>
  <si>
    <t>Бак отработанной кислоты 
Диаметр 1600мм, длина 4262 мм, Vрабочий - 8м3</t>
  </si>
  <si>
    <t>Газодувка с двигателем во взрывозащищенном исполнении
Производительность, м3/час - 1500; давление, мбар (кПа) - 150 (15); скорость вращения ротора, об/мин - ; патрубок - DN150; уровень шума, дБ(А) - 80; питание, В - 380; мощность установленного двигателя, кВт - 18,5; габаритные размеры (ДхШхВ), мм: 1200х1070х1170; охлаждение - воздушное; соединение вала с валом электродвигателя - через мцфту; степень защиты - IP54; степень взрывозащиты - dIIB T4 Gb</t>
  </si>
  <si>
    <t>Абсорбционная колонна
Диаметр 500 мм, высота 9493 мм. В составе 13 торелей D480мм, наполненные кольцами Рашига 50х50 мм.</t>
  </si>
  <si>
    <t>Холодильная установка контейнерного типа (2 контура: рабочий+резервный) комплект поставки:
- компрессор винтовой открытый (2шт.);
- испаритель кожухотрубный (2шт.);
- конденсатор воздушный (1шт.);
- система управления НПФ "Химхолодсервис" (2шт.);
- контролеры "Siemens" (2шт.)</t>
  </si>
  <si>
    <t>Бак дренажный для установки вне контейнера V=5м3</t>
  </si>
  <si>
    <t xml:space="preserve"> НД-2,5-Р-2500/10-П-К-1-5,5В-УХЛ4 (1 гидравлика)</t>
  </si>
  <si>
    <t xml:space="preserve"> ГКК 1-40</t>
  </si>
  <si>
    <t>Р.20269-00.000</t>
  </si>
  <si>
    <t>РУТС
серия RB-150</t>
  </si>
  <si>
    <t xml:space="preserve"> 3611.31.00.00.000</t>
  </si>
  <si>
    <t xml:space="preserve">
 YALCA  чиллер с воздушным охлаждением конденсатора  
модель YAS 400.2.2 GW5</t>
  </si>
  <si>
    <t>Шнек
Длина 5600
 мотор-редуктор МРЧ-80Р1-11/33-52-1-2-1-2-У2-С-380 с электродвигателем во взрывозащищенном исполнении</t>
  </si>
  <si>
    <t>Пламеотсекатель
(сечение Ф150мм; давление воды 0,2-1,6Мпа; тип привода - электромеханический; время срабатывания 0,1 сек.)</t>
  </si>
  <si>
    <t>Весы промышленные электронные платформенные
Габаритные размеры, мм: 800х600х900. Энергопотребление: 200В, 50Гц, 0,02 кВт. (взрывозащищенное исполнение)</t>
  </si>
  <si>
    <t>Стол производственный РАДА СО-12/6БПН</t>
  </si>
  <si>
    <t>Поддон
Габаритные размеры, мм 1200х800х145</t>
  </si>
  <si>
    <t>Течка раздаточная
Габаритные размеры, мм: 1193х630х2340.</t>
  </si>
  <si>
    <t>Пресс, (для отжима топливной баллиститной массы)
Габаритные размеры, мм: 3740х970х1820, эл.двигатель во взрывозащищенном исполнении, энергопотребление: 25 кВт; редукторы типа РМ частота вращения винта не более 7,5 мин (степень (-1)); производительность 1000 кг/сч (макс); диаметр отверстий формующей решетки 8-16 мм.</t>
  </si>
  <si>
    <t>Дистанционный раскрыватель хомута 
эл. двигатель 4ВР100L6 (взрывозащищенное исполнение, N=2,2 кВт, n=1000 мин (степень (-1)) ) с червячным редуктором Ч100, передаточное число 16, частота вращения вала не более 60 мин(степень (-1)).</t>
  </si>
  <si>
    <t>Шнек
Длина 4900мм 
 мотор-редуктор МРЧ-80Р1-11/33-52-1-2-1-2-У2-С-380 с электродвигателем во взрывозащищенном исполнении</t>
  </si>
  <si>
    <t>Установка протирочного барабана в комплекте.
Габаритные размеры, мм: 1750х1380х1700* мм; 
Частота вращения вала с лопастями не более 60 мин (степень (-1)). Комплектность: 
протирочный барабан 
рама, редуктор РЧП-180-37-2, воронка,  электродвигатель ВАО 41-6, n=960 мин (степень (-1)), (взрывозащищенное исполнение)</t>
  </si>
  <si>
    <t>Массонасос 
Q=20 м3/ч, Н=12м, эл.двигатель АИР 132 S4, n=1450 об/мин, dy(всас)/dy(нагн) 100/80 (химический). (взрывозащищенное исполнение)</t>
  </si>
  <si>
    <t>Массонасос, 
Q=20м3/ч, Н=12м, эл. двигатель АИР 132 S4, n=1450 об/мин, dy(всас)/dy(нагн) 100/80 (химический), (взрывозащищенное исполнение)</t>
  </si>
  <si>
    <t>Ажитатор 
Габаритные размеры, мм: Ф5000, Н=3500, V=52м3, энергопотребление 10 кВт. (взрывозащищенное исполнение)</t>
  </si>
  <si>
    <t>Насос центробежный
Подача 45 м3/ч, напор 20м. Энергопотребление: 3ф/380В/
7,5 кВт. (взрывозащищенное исполнение)</t>
  </si>
  <si>
    <t>Ажитатор приемный
Габаритные размеры, мм: Ф2400, Н=2470, V=5,4м3, Энергопотребление: 5,5 кВт.   (взрывозащищенное исполнение)</t>
  </si>
  <si>
    <t>Каплеуловитель (бак для улова)</t>
  </si>
  <si>
    <t xml:space="preserve">Смеситель 
Габаритные размеры, мм: Ф=3200, Н=3500; V=22,4 м3, энергопотребление: 10 кВт. (взрывозащищенное исполнение)  </t>
  </si>
  <si>
    <t xml:space="preserve">Массонасос
Q=40,0 м3/ч, Н=20м, эл. двигатель n=1450 об/мин, dy(всас)/dy(нагн) 65/50 (химический), (взрывозащищенное исполнение)  </t>
  </si>
  <si>
    <t xml:space="preserve">Смеситель, 
Габаритные размеры, мм: Ф=2200, Н=3000; V=8,8м3, энергопотребление: 7,5 кВт. (взрывозащищенное исполнение)  </t>
  </si>
  <si>
    <t xml:space="preserve">Фильтр-сгуститель ФСА-1
Технические характеристики:
Габаритные размеры, мм: Ф=920, Н=1995, энергопотребление: 8 кВт. (взрывозащищенное исполнение) </t>
  </si>
  <si>
    <t xml:space="preserve">Фильтр (Бак постоянного уровня)
Энергопотребление: 1,1 кВт. (взрывозащищенное исполнение) </t>
  </si>
  <si>
    <t xml:space="preserve">Ажитатор 
Габаритные размеры, мм: Ф3000, Н=3000, V=20м3, энергопотребление 20 кВт. (взрывозащищенное исполнение) </t>
  </si>
  <si>
    <t>Винтовой насос-дозатор.
Энергопотребление 5,5 кВт. (взрывозащищенное исполнение)</t>
  </si>
  <si>
    <t>Устройство для измерения концентрации суспензии продукта 9 Габаритные размеры: 1400х850х2100</t>
  </si>
  <si>
    <t>Аппарат для измерения подач суспензии продукта 9
V=150л. Габаритные размеры: 1400х850х2100</t>
  </si>
  <si>
    <t>Сстол производственный РАДА СО-12/6БПН</t>
  </si>
  <si>
    <t>Система двутельных трубопроводов 
(6 секций по 5500 мм; рубашка для обогрева трубопровода продукта 14, теплоноситель - пар)</t>
  </si>
  <si>
    <t>Дозировочный агрегат
Суммарная подача 750 л/ч, давление 10кгс/см2, энергопотребление 1,5 кВт (взрывозащищенное исполнение)</t>
  </si>
  <si>
    <t>Промышленные  электронные платформенные весы.
Габаритные размеры, мм: 600х600х900, энергопотребление: 200В, 50 Гц, 0,02 кВт. (взрывозащищенное исполнение)</t>
  </si>
  <si>
    <t xml:space="preserve">Приемный бак для продукта ДБФ
Габаритные размеры, мм: Ф900, Н=1115, V=650л  </t>
  </si>
  <si>
    <t xml:space="preserve">Приемный бак для продукта ИМ
Габаритные размеры, мм: Ф900, Н=1115, V=650л </t>
  </si>
  <si>
    <t xml:space="preserve">Установка для плавления ДНТ
(Стол с коллектором для плавления продукта 14)
Габаритные размеры, мм: 3100х800х800 </t>
  </si>
  <si>
    <t xml:space="preserve">Емкость для продукта 14
Габаритные размеры, мм: Ф600, Н=1040, V=200л </t>
  </si>
  <si>
    <t>Тельфер канатный передвижной электрический
Грузоподъемность: 1,0m. Высота подъема: 12 м, скорость подъема груза: не более 3 м/мин, 2 тормоза; скорость передвижения: не более 6 м/мин; запас прочности каната шестикратный, энергопотребление: 380-400В; 50Гц; электродвигатель взр. защ.: исполнение 1ЕхdllBT5</t>
  </si>
  <si>
    <t xml:space="preserve">Насос-дозатор
Энергопотребление: 0,55 кВт (взрывозащищенное исполнение) </t>
  </si>
  <si>
    <t xml:space="preserve">Массонасос
Q=40м3/ч; Н=20м; эл. двигатель n=1450 об/мин, 
dy (всас) / dy (нагн) 65/50 (химический), (взрывозащищенное исполнение)  </t>
  </si>
  <si>
    <t xml:space="preserve">Дозировочный агрегат
Подача номинальная - 40 л/час, материал проточной части - сталь 12Х18Н9Т, электродвигатель 0,37 кВт, 1500 об/мин (взрывозащищенное исполнение) </t>
  </si>
  <si>
    <t xml:space="preserve">Дозировочный агрегат
Подача номинальная -40 л/час, материал проточной части - сталь 12Х18Н9Т, электродвигатель 0,37 кВт, 1500 об/мин (взрывозащищенное исполнение) </t>
  </si>
  <si>
    <t xml:space="preserve">Винтовой насос
Подача 5 мз/ч, напор 6м, энергопотребление: 2,8 кВт (взрывозащищенное исполнение) </t>
  </si>
  <si>
    <t xml:space="preserve">Дозировочный агрегат
Подача номинальная суммарная - 320 л/час, материал проточной части - сталь 12Х18Н9Т, электродвигатель 1,5 кВт, 1500 об/мин (взрывозащищенное исполнение) </t>
  </si>
  <si>
    <t>Дозировочный агрегат
Подача номинальная суммарная - 320 л/час, материал проточной части - сталь 12Х18Н9Т, электродвигатель 1,5 кВт, 1500 об/мин, (взрывозащищенное исполнение)</t>
  </si>
  <si>
    <t xml:space="preserve">Дозировочный агрегат
Энергопотребление 0,25 кВт (взрывозащищенное исполнение)  </t>
  </si>
  <si>
    <t>Дозатор
Габаритные размеры, мм: 380х470х1345, энергопотребление: 0,7 кВА. Электродвигатель во взрывозащ. исполнении</t>
  </si>
  <si>
    <t>Смеситель-насос "СН-4"
габаритные размеры: 1500х630х620мм, энергопотребление 8 кВт. (взрывозащищенное исполнение)</t>
  </si>
  <si>
    <t>Роторно-пульсационный смеситель 
габаритные размеры, мм: 1045х323х375, энергопотребление: 3 кВт. (взрывозащищенное исполнение)</t>
  </si>
  <si>
    <t>Воронка коническая</t>
  </si>
  <si>
    <t xml:space="preserve">Форкамерный смеситель
V=220 л , габаритные размеры, мм: 922х1480х1972, энергопотребление: 4 кВт. (взрывозащищенное исполнение) </t>
  </si>
  <si>
    <t>Аппарат для приготовления и транспортирования суспензии гидродинамического типа АПТС-2.
Габаритные размеры, мм: 1255х885х345, энергопотребление: 3 кВт. (взрывозащищенное исполнение)</t>
  </si>
  <si>
    <t>Аппарат для приготовления и транспортирования суспензий гидродинамического типа (АПТС).
Габаритные размеры, мм: 1260х460х950, энергопотребление: 4 кВт. (взрывозащищенное исполнение)</t>
  </si>
  <si>
    <t>Монжус (суспензатор)
Габаритные размеры, мм: Ф=700, Н=1655; V=0,2м3, энергопотребление: 1 кВт. (взрывозащищенное исполнение)</t>
  </si>
  <si>
    <t>Эмульсатор  
Габаритные размеры, мм: Ф=550, Н=1270; V=0,2м3, энергопотребление: 0,27 кВт. (взрывозащищенное исполнение)</t>
  </si>
  <si>
    <t>Гидрофобизатор напорный циркуляционный
Габариты, мм: 1255х885х345; D раб.колеса=170 мм.</t>
  </si>
  <si>
    <t>Бачок постоянного уровня
габаритные размеры, мм: Ф=375, Н=510</t>
  </si>
  <si>
    <t xml:space="preserve">Смеситель статический 
L=405 мм, энергопотребление: 4 кВт. (взрывозащищенное исполнение)  </t>
  </si>
  <si>
    <t>Бачок обогреваемый
Габаритные размеры, мм: Ф=516, Н=652; V=0,05м3</t>
  </si>
  <si>
    <t>Бачок, 
Габаритные размеры, мм: Ф=516, Н=652; V=0,05м3</t>
  </si>
  <si>
    <t>Бачок для смеси  
Габаритные размеры, мм: Ф=350, Н=855; V=30л, энергопотребление: 0,4 кВт.</t>
  </si>
  <si>
    <t>Сушильный шкаф
Габаритные размеры, мм: 1650х1230х1900</t>
  </si>
  <si>
    <t>Весы электронные платформенные промышленные
Габаритные размеры, мм: 1000х750 (взрывозащищенное исполнение)</t>
  </si>
  <si>
    <t>Ларь для хранения сыпучих материалов
Габаритные размеры 1650х800х920 мм</t>
  </si>
  <si>
    <t>Рама (смеситель типа "пьяная бочка") для усреднения сыпучих компонентов.
Габаритные размеры, мм: 1570(max)х3260х1890(max). Максимальные размеры указаны при вращении корзины крепления. Мотор-редуктор 2,2 кВт. Частота вращения до 24 мин (степень (-1)).</t>
  </si>
  <si>
    <t>Бункер для сыпучих материалов</t>
  </si>
  <si>
    <t>Тельфер канатный передвижной электрический
Грузоподъемность: 1m. Высота подъема: 6 м, скорость подъема груза: не более 3 м/мин, 2 тормоза; скорость передвижения: не более 6 м/мин; запас прочности каната шестикратный, энергопотребление: 380-400В; 50Гц; электродвигатель взр. защ.: исполнение 1ЕхdllBT5</t>
  </si>
  <si>
    <t>Устройство для смешения смеси пластификаторов
V=1л. Габаритные размеры: Ф270мм, L=325 мм</t>
  </si>
  <si>
    <t>Инжектор 
(Технические характеристики: производительность 700 кг/час; скор. эмульсии 0,97 м/с; напор воды 0,6 кг/см2; длина 253 мм)</t>
  </si>
  <si>
    <t>Инжектор 
(Технические характеристики: производительность 233 кг/час; скор. эмульсии 1 м/с; напор воды 7,2 кг/см2; длина 242 мм)</t>
  </si>
  <si>
    <t>Пробоотборник,  
Габаритные размеры, мм:125х125х3500; V=1л</t>
  </si>
  <si>
    <t>Пробоотборник  
Габаритные размеры, мм: 125х125х3500; V=1 л</t>
  </si>
  <si>
    <t>Магнитный сепаратор 
(для сепарации магнитных примесей в суспензии продуктов). В линии трубопровода Ду=80 мм (взрывозащищенное исполнение).</t>
  </si>
  <si>
    <t>Пробоотборник</t>
  </si>
  <si>
    <t>Эжектор к местному отсосу (для создания разрежения в баке для улова), 
Диаметр 160 мм, высота 702 мм.</t>
  </si>
  <si>
    <t>73023-02000</t>
  </si>
  <si>
    <t xml:space="preserve"> 69031-00000</t>
  </si>
  <si>
    <t>ВПП-05(В)</t>
  </si>
  <si>
    <t>ГОСТ 9557-87</t>
  </si>
  <si>
    <t>29029-00000</t>
  </si>
  <si>
    <t>4Ц 472-00000</t>
  </si>
  <si>
    <t>Изготовлено по чертежу 69031-00000</t>
  </si>
  <si>
    <t>ПО-125-1000
(черт. П00823-00000)</t>
  </si>
  <si>
    <t>6216-00-00</t>
  </si>
  <si>
    <t>73023-01000</t>
  </si>
  <si>
    <t xml:space="preserve">Р.19458-00000
Р.13355
</t>
  </si>
  <si>
    <t>АХ 100-80-200-К-55-УХЛ4</t>
  </si>
  <si>
    <t>ХЕ 65-50-125К-б-55-У2</t>
  </si>
  <si>
    <t xml:space="preserve">На объекте стоит ажитатор с биркой "Ажитатор № 0171
Аппарат ВПП-1-3-1-65-ОК"
Р. 19427-00000
</t>
  </si>
  <si>
    <t xml:space="preserve">
ХЕ 65-50-125К-б-55-У2</t>
  </si>
  <si>
    <t>Х45/23/4-П</t>
  </si>
  <si>
    <t>Р. 19419-00000</t>
  </si>
  <si>
    <t>Н-430942 0-0</t>
  </si>
  <si>
    <t>Р-19426</t>
  </si>
  <si>
    <t>Х65/20
(экв. ЦНСК 40/20)</t>
  </si>
  <si>
    <t>Р-19425</t>
  </si>
  <si>
    <t xml:space="preserve"> 
ХЕ 65-50-125К-б-55-У2</t>
  </si>
  <si>
    <t>Ф.3.01-00.000</t>
  </si>
  <si>
    <t>Название на бирке к аппарату
"Аппарат с мешалкой ВКП-1-1-1,6"
4Ц982</t>
  </si>
  <si>
    <t xml:space="preserve">
АОМЗ 1.0014.00.00.000</t>
  </si>
  <si>
    <t xml:space="preserve">
Супрус ВН50-1В</t>
  </si>
  <si>
    <t>21101-00000</t>
  </si>
  <si>
    <t>ТТОН-2-48/89-10.0/6,3-6-Г-МЗ-У</t>
  </si>
  <si>
    <t>Состоит из двух 150+600!!!!!
НД-2,5-Р-150/10-П-К-1-0,25-В-УХЛ4 (1 гидравлика) пп 10077
НД-2,5-Р-600/10-П-К-1-0,55-В-УХЛ4 (2 гидравлики) пп 10076</t>
  </si>
  <si>
    <t xml:space="preserve"> ВПА-200(В)</t>
  </si>
  <si>
    <t>Р.15932-00000</t>
  </si>
  <si>
    <t>91061-00000</t>
  </si>
  <si>
    <t>28004-00000</t>
  </si>
  <si>
    <t>НД-1,0-Р-250/16-П-К-0,55В-У4, (пп 10083)</t>
  </si>
  <si>
    <t>НД-1,0-Р-40/10-П-К-1-0,25В-УХЛ4 (4 гидравлики), пп 10079</t>
  </si>
  <si>
    <t>Состоит из двух 
НД-1,0-Р-500/10-П-К-1-0,55В-УХЛ4 
НД-1,0-Р-500/10-П-К-1-0,55В-УХЛ4</t>
  </si>
  <si>
    <t>Н1В-6/5К</t>
  </si>
  <si>
    <t xml:space="preserve"> НД-1,0-Р-320/25-П-К-1-1,1В-УХЛ4 (2 гидравлики), пп 10075</t>
  </si>
  <si>
    <t>НД-1,0-Р-320/25-П-К-1-0,55В-УХЛ4 (2 гидравлики), пп 10078</t>
  </si>
  <si>
    <t>НД-1,0-Р-40/25-П-К-1-0,25В-УХЛ4 (1 гидравлика), пп 10081</t>
  </si>
  <si>
    <t>ДВБН-250</t>
  </si>
  <si>
    <t>27017-00000</t>
  </si>
  <si>
    <t>РПС-20
27044-00000</t>
  </si>
  <si>
    <t>4Ц 961-00000</t>
  </si>
  <si>
    <t>ФКС
27016-00000</t>
  </si>
  <si>
    <t>АПТС-2
4Ц 620-00000</t>
  </si>
  <si>
    <t>АПТС
4Ц 447-00000</t>
  </si>
  <si>
    <t>Р.16927-00000</t>
  </si>
  <si>
    <t>Р.19352-00000</t>
  </si>
  <si>
    <t>4Ц 654-00000</t>
  </si>
  <si>
    <t>1030-00-00</t>
  </si>
  <si>
    <t>27051-00000</t>
  </si>
  <si>
    <t>1129.00.000</t>
  </si>
  <si>
    <t>1130.00.000</t>
  </si>
  <si>
    <t>Р-19388</t>
  </si>
  <si>
    <t>Climcontrol ШС 30/250-4000-П-Стандарт</t>
  </si>
  <si>
    <t xml:space="preserve">
ВПА-200</t>
  </si>
  <si>
    <t xml:space="preserve"> 7241-00-00</t>
  </si>
  <si>
    <t>(С-610.000.000.ГЧ)</t>
  </si>
  <si>
    <t>29015-10000</t>
  </si>
  <si>
    <t>19003-00000</t>
  </si>
  <si>
    <t>АПР-600
22047-00000
корпус
22047-03000</t>
  </si>
  <si>
    <t>Р.22417-00000</t>
  </si>
  <si>
    <t>4Ц 484-00000</t>
  </si>
  <si>
    <t>ССМТ-76-25-4</t>
  </si>
  <si>
    <t>IE2.950.015</t>
  </si>
  <si>
    <t>п.94, 108, 158, 164 количесвто уточняется после прогектировния</t>
  </si>
  <si>
    <t xml:space="preserve">Станки «Краузе» </t>
  </si>
  <si>
    <t xml:space="preserve">Вертикальные вальцы «Крупп» </t>
  </si>
  <si>
    <t>Горизонтальные вальцы «Демаг»</t>
  </si>
  <si>
    <t xml:space="preserve">Штамп-пресс </t>
  </si>
  <si>
    <t>Емкостное оборудование для хранения азотной кислоты V=100 м3</t>
  </si>
  <si>
    <t>РФ</t>
  </si>
  <si>
    <t>ПБП</t>
  </si>
  <si>
    <t>Корпус (АПР-600). Лабиринт
Технические характеристики: V=36л, производительность 600 кг/ч, Р=0,4 кВт; чис. обор=650 об/мин; габаритные размеры, мм: 1226х837х650</t>
  </si>
  <si>
    <t>нет чертежей:4ц264-00102; 00105; 00106; 00107-01;4ц264-00203; 4ц264-00100; 00200; 00006; 00007.</t>
  </si>
  <si>
    <t>нет чертежей: 4ц268-00003, 00004, 00005, 00006.</t>
  </si>
  <si>
    <t>нет чертежей: 4ц290-00003; 00004; 00005.</t>
  </si>
  <si>
    <t>нет чертежей: 4ц277-00001, 00003, 4ц277-00100, 4ц277-00200, 4ц277-00300, 4ц277-00400, 4ц277-00500.</t>
  </si>
  <si>
    <t>нет чертежей: 4ц693-00102, 4ц693-00103, 4ц693-00203, 4ц693-00100, 4ц693-00200, 4ц693-00006, 4ц693-00007.</t>
  </si>
  <si>
    <t>нет чертежей: 4ц733-00001-01, 4ц733-00004-01, 4ц733-00005.</t>
  </si>
  <si>
    <t>нет чертежей: 4ц639-00002, 4ц639-00005.</t>
  </si>
  <si>
    <t>нет спецификации, некомплект чертежей.</t>
  </si>
  <si>
    <t>нет чертежей: 21208-00002, 21208-00009.</t>
  </si>
  <si>
    <t>нет чертеэжей: Н -434882 1-2; 1-3; 1-5; 1-6; Н -434882 2-3.</t>
  </si>
  <si>
    <t>нет чертежей: Н-436855 1-0; Н-436855 2-0. (есть только Н-436855 0-0 СБ).</t>
  </si>
  <si>
    <t>нет чертежей: Р. 11853 00.003; 00.008; 00.009; 00.011.</t>
  </si>
  <si>
    <t>комплект чертежей есть.</t>
  </si>
  <si>
    <t>комплект чертежей на протирочный барабан есть (редуктор и электрордвигатель стандартное оборудование).</t>
  </si>
  <si>
    <t>стандартное оборудование.</t>
  </si>
  <si>
    <t>стандартное изделие.</t>
  </si>
  <si>
    <t>нет черчежей: Р. 22495.00.003, Р. 22495.00.012, Р. 22495.00.016, Р. 22495.01.100, Р. 22495.00.006, Р. 22495.01.005, Р. 22495.01.101, Р.22495.01.102, Р. 22495.02.003, Р. 22495.00.002, (нет разделов Р. 22495.03, Р. 22495.04.</t>
  </si>
  <si>
    <t>Бак для содового раствора. Технические характеристики:
со змеевиком для обогрева.
Диаметр 1000 мм, 
высота 1200 мм, 
Vрабочий - 1,08м3, 
Nэл.дв.-1,5 кВт, частота вращения мешалки -360 об/мин.</t>
  </si>
  <si>
    <t>нет чертежа: Р-4195 4-0 (оправа для технического термометра)</t>
  </si>
  <si>
    <t>ЦГ 6,3/32</t>
  </si>
  <si>
    <t>Есть руководство по эксплуатации, чертежей нет.</t>
  </si>
  <si>
    <t>комплект чертежей на емкость есть, автомобиль морально устарел.</t>
  </si>
  <si>
    <t>нет чертежей.</t>
  </si>
  <si>
    <t xml:space="preserve">нет чертежей. </t>
  </si>
  <si>
    <t>нетчертежей.</t>
  </si>
  <si>
    <t>спецификация есть, чертежей нет.</t>
  </si>
  <si>
    <t>есть паспорт, нет чертежей.</t>
  </si>
  <si>
    <t>комплект чертежей есть .</t>
  </si>
  <si>
    <t>есть спецификация и СБ чертеж, остальных чертежей нет.</t>
  </si>
  <si>
    <t>ВПА-50</t>
  </si>
  <si>
    <t>1 00 000,00</t>
  </si>
  <si>
    <t xml:space="preserve"> ПОУ-8М 710 04 Л 03 Н3У</t>
  </si>
  <si>
    <t xml:space="preserve">изготовитель </t>
  </si>
  <si>
    <t>Алтай</t>
  </si>
  <si>
    <t>АО  "АОМЗ"</t>
  </si>
  <si>
    <t>ФЦДТ "Союз"</t>
  </si>
  <si>
    <t>АО "ФНПЦ "Алтай"</t>
  </si>
  <si>
    <t>АО "АОМЗ"</t>
  </si>
  <si>
    <t>ФНПЦ "Алтай"</t>
  </si>
  <si>
    <t>ООО "УЗНО"</t>
  </si>
  <si>
    <t>ООО "НефтемашСистема" г. Москва</t>
  </si>
  <si>
    <t>ОО "Римос " г. Москва</t>
  </si>
  <si>
    <t>ООО "ПО МСВ-НАСКО"</t>
  </si>
  <si>
    <t>ООО ПК "Дельта-Сервис"</t>
  </si>
  <si>
    <t>ЗАО "Лабораторное оборудование и приборы"</t>
  </si>
  <si>
    <t>ЗАО "МАССА-К" г. Санкт-Петербург</t>
  </si>
  <si>
    <t>ООО "ПросторАвтоматика"</t>
  </si>
  <si>
    <t>ООО ПКП "МИТО" г. Кирово-Чепецк</t>
  </si>
  <si>
    <t>АО "ГМС ЛИВГИДРОМАШ"</t>
  </si>
  <si>
    <t>Реваль</t>
  </si>
  <si>
    <t>Марсель</t>
  </si>
  <si>
    <t xml:space="preserve">Ответсвенный </t>
  </si>
  <si>
    <t>Статус</t>
  </si>
  <si>
    <t>Запрос отправлен</t>
  </si>
  <si>
    <t>Отправлено</t>
  </si>
  <si>
    <t>отправлен</t>
  </si>
  <si>
    <t>Ильдана</t>
  </si>
  <si>
    <t>гл. инженер Бондарев Дмитрий Иванович 8(863-42)4-03-07</t>
  </si>
  <si>
    <t>bo@hms-livgidromash.ru тел 48677 -78105(06) Боброва Ирина, кп на проработке у конструкторов. Номер заявки 627622</t>
  </si>
  <si>
    <t>Дали счет</t>
  </si>
  <si>
    <t>Сумма с НДС</t>
  </si>
  <si>
    <t>Цена с НДС</t>
  </si>
  <si>
    <t>комментарий</t>
  </si>
  <si>
    <t>ответит письмом пришлет вопросы на ПОУ и 1КМР</t>
  </si>
  <si>
    <r>
      <t xml:space="preserve"> Роторная воздуходувка UNOKOR RB 150. </t>
    </r>
    <r>
      <rPr>
        <b/>
        <sz val="11"/>
        <color rgb="FF002060"/>
        <rFont val="Calibri"/>
        <family val="2"/>
        <charset val="204"/>
      </rPr>
      <t>Чернова Татьяна</t>
    </r>
    <r>
      <rPr>
        <sz val="11"/>
        <color rgb="FF000000"/>
        <rFont val="Calibri"/>
        <family val="2"/>
        <charset val="204"/>
      </rPr>
      <t>, Инженер отдела промышленного оборудования.  ООО «Унокор». Тел. +7(499)380-63-34 доб. 108. Моб.Тел.: 8 (977) -727 -64-66. г.Москва, Рязанский проспект, дом 2, стр. 86. E-mail: info@unokor.ru. E-mail: info@unokor.ru</t>
    </r>
  </si>
  <si>
    <t>125-140 дней срок изготовления</t>
  </si>
  <si>
    <t>в работе, общались с Марселем</t>
  </si>
  <si>
    <t>отправила</t>
  </si>
  <si>
    <t>пришлет 25.11. Оплачивать не по 275 ФЗ. Только обычный рассчетный счет. Личные ср-ва, без учета идентификаторов</t>
  </si>
  <si>
    <t>не хочет выставляться, но посмотрит что может предложмить. +7 499 995-09-49</t>
  </si>
  <si>
    <t>ждем цены. Есть дублирование с УРАЛом!</t>
  </si>
  <si>
    <t>ФЦДТ "Союз"/ Простор Автоматика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</si>
</sst>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\ _₽_-;\-* #,##0.00\ _₽_-;_-* &quot;-&quot;??\ _₽_-;_-@_-"/>
    <numFmt numFmtId="165" formatCode="_-* #,##0.00\ [$₽]_-;\-* #,##0.00\ [$₽]_-;_-* \-??\ [$₽]_-;_-@_-"/>
  </numFmts>
  <fonts count="26" x14ac:knownFonts="1">
    <font>
      <sz val="11"/>
      <color theme="1"/>
      <name val="Calibri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color rgb="FFFF0000"/>
      <name val="Calibri"/>
      <family val="2"/>
      <charset val="204"/>
      <scheme val="minor"/>
    </font>
    <font>
      <b/>
      <sz val="10"/>
      <color rgb="FFED0000"/>
      <name val="Calibri"/>
      <family val="2"/>
      <charset val="204"/>
      <scheme val="minor"/>
    </font>
    <font>
      <sz val="9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2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b/>
      <sz val="14"/>
      <name val="Times New Roman"/>
      <family val="1"/>
      <charset val="204"/>
    </font>
    <font>
      <sz val="11"/>
      <color theme="1"/>
      <name val="Calibri"/>
      <family val="2"/>
      <charset val="204"/>
    </font>
    <font>
      <u/>
      <sz val="11"/>
      <color theme="10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1"/>
      <color rgb="FF002060"/>
      <name val="Calibri"/>
      <family val="2"/>
      <charset val="204"/>
    </font>
    <font>
      <sz val="11"/>
      <color rgb="FF34343C"/>
      <name val="Helvetica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5117038483843"/>
        <bgColor indexed="65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8" fillId="0" borderId="0"/>
    <xf numFmtId="164" fontId="8" fillId="0" borderId="0" applyFont="0" applyFill="0" applyBorder="0" applyAlignment="0" applyProtection="0"/>
    <xf numFmtId="0" fontId="2" fillId="0" borderId="0"/>
    <xf numFmtId="0" fontId="1" fillId="0" borderId="0"/>
    <xf numFmtId="43" fontId="21" fillId="0" borderId="0" applyFont="0" applyFill="0" applyBorder="0" applyAlignment="0" applyProtection="0"/>
    <xf numFmtId="0" fontId="22" fillId="0" borderId="0" applyNumberFormat="0" applyFill="0" applyBorder="0" applyAlignment="0" applyProtection="0"/>
  </cellStyleXfs>
  <cellXfs count="101">
    <xf numFmtId="0" fontId="0" fillId="0" borderId="0" xfId="0"/>
    <xf numFmtId="0" fontId="3" fillId="0" borderId="0" xfId="0" applyFont="1"/>
    <xf numFmtId="0" fontId="3" fillId="0" borderId="0" xfId="0" applyFont="1" applyAlignment="1">
      <alignment horizontal="right"/>
    </xf>
    <xf numFmtId="2" fontId="3" fillId="0" borderId="0" xfId="0" applyNumberFormat="1" applyFont="1" applyAlignment="1">
      <alignment horizontal="right"/>
    </xf>
    <xf numFmtId="14" fontId="4" fillId="0" borderId="0" xfId="0" applyNumberFormat="1" applyFont="1"/>
    <xf numFmtId="0" fontId="3" fillId="0" borderId="0" xfId="0" applyFont="1" applyAlignment="1">
      <alignment wrapText="1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right"/>
    </xf>
    <xf numFmtId="2" fontId="5" fillId="0" borderId="0" xfId="0" applyNumberFormat="1" applyFont="1" applyAlignment="1">
      <alignment horizontal="right"/>
    </xf>
    <xf numFmtId="0" fontId="7" fillId="0" borderId="0" xfId="0" applyFont="1"/>
    <xf numFmtId="17" fontId="3" fillId="0" borderId="0" xfId="0" applyNumberFormat="1" applyFont="1"/>
    <xf numFmtId="0" fontId="11" fillId="5" borderId="1" xfId="3" applyFont="1" applyFill="1" applyBorder="1" applyAlignment="1">
      <alignment horizontal="left" vertical="center" wrapText="1"/>
    </xf>
    <xf numFmtId="0" fontId="3" fillId="0" borderId="0" xfId="0" applyFont="1" applyBorder="1"/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textRotation="90" wrapText="1"/>
    </xf>
    <xf numFmtId="0" fontId="5" fillId="0" borderId="1" xfId="0" applyFont="1" applyBorder="1" applyAlignment="1">
      <alignment horizontal="right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right" vertical="center"/>
    </xf>
    <xf numFmtId="4" fontId="5" fillId="2" borderId="1" xfId="0" applyNumberFormat="1" applyFont="1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2" fontId="5" fillId="0" borderId="1" xfId="0" applyNumberFormat="1" applyFont="1" applyBorder="1" applyAlignment="1">
      <alignment horizontal="right" vertical="center"/>
    </xf>
    <xf numFmtId="0" fontId="5" fillId="2" borderId="1" xfId="0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6" fillId="3" borderId="1" xfId="0" applyFont="1" applyFill="1" applyBorder="1"/>
    <xf numFmtId="0" fontId="6" fillId="3" borderId="1" xfId="0" applyFont="1" applyFill="1" applyBorder="1" applyAlignment="1">
      <alignment horizontal="center"/>
    </xf>
    <xf numFmtId="165" fontId="6" fillId="3" borderId="1" xfId="0" applyNumberFormat="1" applyFont="1" applyFill="1" applyBorder="1" applyAlignment="1">
      <alignment horizontal="center"/>
    </xf>
    <xf numFmtId="1" fontId="6" fillId="3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right"/>
    </xf>
    <xf numFmtId="0" fontId="11" fillId="5" borderId="1" xfId="3" applyFont="1" applyFill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3" fillId="5" borderId="0" xfId="0" applyNumberFormat="1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 vertical="center" wrapText="1"/>
    </xf>
    <xf numFmtId="1" fontId="5" fillId="5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1" fontId="5" fillId="5" borderId="0" xfId="0" applyNumberFormat="1" applyFont="1" applyFill="1" applyAlignment="1">
      <alignment horizontal="center"/>
    </xf>
    <xf numFmtId="4" fontId="12" fillId="0" borderId="1" xfId="1" applyNumberFormat="1" applyFont="1" applyFill="1" applyBorder="1" applyAlignment="1">
      <alignment horizontal="center" vertical="center" wrapText="1"/>
    </xf>
    <xf numFmtId="4" fontId="12" fillId="0" borderId="1" xfId="1" applyNumberFormat="1" applyFont="1" applyFill="1" applyBorder="1" applyAlignment="1">
      <alignment horizontal="center" vertical="center"/>
    </xf>
    <xf numFmtId="0" fontId="12" fillId="5" borderId="1" xfId="4" applyFont="1" applyFill="1" applyBorder="1" applyAlignment="1">
      <alignment horizontal="center" vertical="center" wrapText="1"/>
    </xf>
    <xf numFmtId="1" fontId="6" fillId="6" borderId="1" xfId="0" applyNumberFormat="1" applyFont="1" applyFill="1" applyBorder="1" applyAlignment="1">
      <alignment horizontal="center"/>
    </xf>
    <xf numFmtId="0" fontId="14" fillId="0" borderId="1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5" fillId="5" borderId="1" xfId="3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14" fontId="17" fillId="0" borderId="0" xfId="0" applyNumberFormat="1" applyFont="1"/>
    <xf numFmtId="0" fontId="18" fillId="0" borderId="1" xfId="0" applyFont="1" applyBorder="1" applyAlignment="1">
      <alignment vertical="center" wrapText="1"/>
    </xf>
    <xf numFmtId="0" fontId="18" fillId="3" borderId="1" xfId="0" applyFont="1" applyFill="1" applyBorder="1" applyAlignment="1">
      <alignment horizontal="center"/>
    </xf>
    <xf numFmtId="0" fontId="18" fillId="0" borderId="1" xfId="0" applyFont="1" applyBorder="1" applyAlignment="1">
      <alignment horizontal="center" vertical="center" wrapText="1"/>
    </xf>
    <xf numFmtId="0" fontId="19" fillId="5" borderId="1" xfId="3" applyFont="1" applyFill="1" applyBorder="1" applyAlignment="1">
      <alignment horizontal="left" vertical="center" wrapText="1"/>
    </xf>
    <xf numFmtId="0" fontId="20" fillId="5" borderId="1" xfId="3" applyFont="1" applyFill="1" applyBorder="1" applyAlignment="1">
      <alignment horizontal="left" vertical="center" wrapText="1"/>
    </xf>
    <xf numFmtId="0" fontId="18" fillId="0" borderId="0" xfId="0" applyFont="1"/>
    <xf numFmtId="0" fontId="17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6" fillId="3" borderId="1" xfId="0" applyFont="1" applyFill="1" applyBorder="1" applyAlignment="1">
      <alignment wrapText="1"/>
    </xf>
    <xf numFmtId="0" fontId="7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3" fillId="0" borderId="0" xfId="0" applyFont="1" applyBorder="1" applyAlignment="1">
      <alignment wrapText="1"/>
    </xf>
    <xf numFmtId="0" fontId="5" fillId="0" borderId="0" xfId="0" applyFont="1" applyBorder="1" applyAlignment="1">
      <alignment wrapText="1"/>
    </xf>
    <xf numFmtId="4" fontId="5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Fill="1" applyAlignment="1">
      <alignment wrapText="1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4" fontId="5" fillId="7" borderId="1" xfId="0" applyNumberFormat="1" applyFont="1" applyFill="1" applyBorder="1" applyAlignment="1">
      <alignment horizontal="center" vertical="center" wrapText="1"/>
    </xf>
    <xf numFmtId="0" fontId="23" fillId="0" borderId="0" xfId="0" applyFont="1" applyAlignment="1">
      <alignment vertical="center" wrapText="1"/>
    </xf>
    <xf numFmtId="0" fontId="24" fillId="0" borderId="0" xfId="0" applyFont="1" applyAlignment="1">
      <alignment vertical="center" wrapText="1"/>
    </xf>
    <xf numFmtId="0" fontId="22" fillId="0" borderId="0" xfId="6" applyAlignment="1">
      <alignment vertical="center" wrapText="1"/>
    </xf>
    <xf numFmtId="4" fontId="25" fillId="0" borderId="0" xfId="0" applyNumberFormat="1" applyFont="1"/>
    <xf numFmtId="43" fontId="3" fillId="0" borderId="0" xfId="5" applyFont="1"/>
    <xf numFmtId="164" fontId="3" fillId="0" borderId="0" xfId="0" applyNumberFormat="1" applyFont="1"/>
    <xf numFmtId="0" fontId="5" fillId="7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4" fontId="21" fillId="0" borderId="0" xfId="0" applyNumberFormat="1" applyFont="1"/>
    <xf numFmtId="0" fontId="15" fillId="8" borderId="1" xfId="3" applyFont="1" applyFill="1" applyBorder="1" applyAlignment="1">
      <alignment horizontal="center" vertical="center" wrapText="1"/>
    </xf>
  </cellXfs>
  <cellStyles count="7">
    <cellStyle name="Гиперссылка" xfId="6" builtinId="8"/>
    <cellStyle name="Обычный" xfId="0" builtinId="0"/>
    <cellStyle name="Обычный 2" xfId="1" xr:uid="{00000000-0005-0000-0000-000001000000}"/>
    <cellStyle name="Обычный 3" xfId="3" xr:uid="{00000000-0005-0000-0000-000002000000}"/>
    <cellStyle name="Обычный 3 2" xfId="4" xr:uid="{00000000-0005-0000-0000-000003000000}"/>
    <cellStyle name="Финансовый" xfId="5" builtinId="3"/>
    <cellStyle name="Финансовый 2" xfId="2" xr:uid="{00000000-0005-0000-0000-000004000000}"/>
  </cellStyles>
  <dxfs count="0"/>
  <tableStyles count="0" defaultTableStyle="TableStyleMedium9" defaultPivotStyle="PivotStyleMedium4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 2007 - 2010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A198"/>
  <sheetViews>
    <sheetView tabSelected="1" zoomScaleNormal="100" zoomScaleSheetLayoutView="100" workbookViewId="0">
      <selection activeCell="F9" sqref="F9"/>
    </sheetView>
  </sheetViews>
  <sheetFormatPr defaultColWidth="9.140625" defaultRowHeight="18.75" x14ac:dyDescent="0.3"/>
  <cols>
    <col min="1" max="1" width="4.5703125" style="1" customWidth="1"/>
    <col min="2" max="2" width="28.5703125" style="1" hidden="1" customWidth="1"/>
    <col min="3" max="3" width="17.42578125" style="1" hidden="1" customWidth="1"/>
    <col min="4" max="4" width="13.42578125" style="1" hidden="1" customWidth="1"/>
    <col min="5" max="5" width="22.7109375" style="1" hidden="1" customWidth="1"/>
    <col min="6" max="6" width="90.140625" style="67" customWidth="1"/>
    <col min="7" max="7" width="20.140625" style="55" customWidth="1"/>
    <col min="8" max="9" width="16.85546875" style="1" hidden="1" customWidth="1"/>
    <col min="10" max="10" width="9.140625" style="45" bestFit="1" customWidth="1"/>
    <col min="11" max="11" width="6.5703125" style="1" hidden="1" customWidth="1"/>
    <col min="12" max="15" width="12" style="1" hidden="1" customWidth="1"/>
    <col min="16" max="16" width="18.42578125" style="2" hidden="1" customWidth="1"/>
    <col min="17" max="17" width="18.28515625" style="2" hidden="1" customWidth="1"/>
    <col min="18" max="18" width="18.28515625" style="1" hidden="1" customWidth="1"/>
    <col min="19" max="19" width="18.28515625" style="2" hidden="1" customWidth="1"/>
    <col min="20" max="20" width="13.85546875" style="1" hidden="1" customWidth="1"/>
    <col min="21" max="21" width="21.5703125" style="1" hidden="1" customWidth="1"/>
    <col min="22" max="22" width="14.85546875" style="1" hidden="1" customWidth="1"/>
    <col min="23" max="24" width="13.85546875" style="2" hidden="1" customWidth="1"/>
    <col min="25" max="26" width="12.7109375" style="1" hidden="1" customWidth="1"/>
    <col min="27" max="29" width="15.42578125" style="1" hidden="1" customWidth="1"/>
    <col min="30" max="30" width="9" style="1" hidden="1" customWidth="1"/>
    <col min="31" max="31" width="20.5703125" style="3" hidden="1" customWidth="1"/>
    <col min="32" max="32" width="8.85546875" style="1" hidden="1" customWidth="1"/>
    <col min="33" max="33" width="15.42578125" style="2" hidden="1" customWidth="1"/>
    <col min="34" max="34" width="9" style="1" hidden="1" customWidth="1"/>
    <col min="35" max="35" width="15.42578125" style="2" hidden="1" customWidth="1"/>
    <col min="36" max="36" width="15.42578125" style="1" hidden="1" customWidth="1"/>
    <col min="37" max="37" width="9.42578125" style="1" hidden="1" customWidth="1"/>
    <col min="38" max="38" width="14.5703125" style="2" hidden="1" customWidth="1"/>
    <col min="39" max="39" width="15" style="1" hidden="1" customWidth="1"/>
    <col min="40" max="40" width="18.28515625" style="1" hidden="1" customWidth="1"/>
    <col min="41" max="41" width="18.28515625" style="2" hidden="1" customWidth="1"/>
    <col min="42" max="42" width="20.140625" style="2" hidden="1" customWidth="1"/>
    <col min="43" max="43" width="17" style="1" hidden="1" customWidth="1"/>
    <col min="44" max="44" width="17.85546875" style="1" hidden="1" customWidth="1"/>
    <col min="45" max="45" width="11.7109375" style="1" hidden="1" customWidth="1"/>
    <col min="46" max="46" width="20.140625" style="1" hidden="1" customWidth="1"/>
    <col min="47" max="47" width="117.140625" style="5" hidden="1" customWidth="1"/>
    <col min="48" max="48" width="37" style="75" customWidth="1"/>
    <col min="49" max="49" width="12.7109375" style="1" bestFit="1" customWidth="1"/>
    <col min="50" max="50" width="15.5703125" style="1" bestFit="1" customWidth="1"/>
    <col min="51" max="51" width="41.85546875" style="1" customWidth="1"/>
    <col min="52" max="52" width="11.28515625" style="1" bestFit="1" customWidth="1"/>
    <col min="53" max="53" width="12.42578125" style="1" bestFit="1" customWidth="1"/>
    <col min="54" max="16384" width="9.140625" style="1"/>
  </cols>
  <sheetData>
    <row r="1" spans="1:53" x14ac:dyDescent="0.3">
      <c r="B1" s="4"/>
      <c r="F1" s="60"/>
      <c r="AV1" s="77"/>
    </row>
    <row r="2" spans="1:53" x14ac:dyDescent="0.3">
      <c r="B2" s="4"/>
      <c r="F2" s="60"/>
      <c r="Y2" s="11"/>
      <c r="AV2" s="77"/>
    </row>
    <row r="3" spans="1:53" x14ac:dyDescent="0.3">
      <c r="B3" s="4"/>
      <c r="F3" s="60"/>
      <c r="AV3" s="77"/>
    </row>
    <row r="4" spans="1:53" ht="12.75" x14ac:dyDescent="0.2">
      <c r="A4" s="93" t="s">
        <v>51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  <c r="AQ4" s="7"/>
      <c r="AR4" s="7"/>
      <c r="AS4" s="7"/>
      <c r="AT4" s="7"/>
      <c r="AU4" s="69"/>
      <c r="AV4" s="78"/>
    </row>
    <row r="5" spans="1:53" ht="12.75" x14ac:dyDescent="0.2">
      <c r="A5" s="97" t="s">
        <v>52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  <c r="AH5" s="98"/>
      <c r="AI5" s="98"/>
      <c r="AJ5" s="98"/>
      <c r="AK5" s="98"/>
      <c r="AL5" s="98"/>
      <c r="AM5" s="98"/>
      <c r="AN5" s="98"/>
      <c r="AO5" s="98"/>
      <c r="AP5" s="98"/>
      <c r="AQ5" s="7"/>
      <c r="AR5" s="7"/>
      <c r="AS5" s="7"/>
      <c r="AT5" s="7"/>
      <c r="AU5" s="69"/>
      <c r="AV5" s="78"/>
    </row>
    <row r="6" spans="1:53" s="5" customFormat="1" x14ac:dyDescent="0.2">
      <c r="A6" s="92" t="s">
        <v>0</v>
      </c>
      <c r="B6" s="92" t="s">
        <v>1</v>
      </c>
      <c r="C6" s="95" t="s">
        <v>2</v>
      </c>
      <c r="D6" s="95"/>
      <c r="E6" s="95"/>
      <c r="F6" s="61"/>
      <c r="G6" s="56"/>
      <c r="H6" s="14"/>
      <c r="I6" s="14"/>
      <c r="J6" s="46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5"/>
      <c r="AC6" s="15"/>
      <c r="AD6" s="94" t="s">
        <v>3</v>
      </c>
      <c r="AE6" s="94"/>
      <c r="AF6" s="94" t="s">
        <v>4</v>
      </c>
      <c r="AG6" s="94"/>
      <c r="AH6" s="94" t="s">
        <v>5</v>
      </c>
      <c r="AI6" s="94"/>
      <c r="AJ6" s="94" t="s">
        <v>6</v>
      </c>
      <c r="AK6" s="94"/>
      <c r="AL6" s="94"/>
      <c r="AM6" s="92" t="s">
        <v>7</v>
      </c>
      <c r="AN6" s="94" t="s">
        <v>8</v>
      </c>
      <c r="AO6" s="94"/>
      <c r="AP6" s="94"/>
      <c r="AQ6" s="92" t="s">
        <v>9</v>
      </c>
      <c r="AR6" s="92" t="s">
        <v>10</v>
      </c>
      <c r="AS6" s="94" t="s">
        <v>11</v>
      </c>
      <c r="AT6" s="94"/>
      <c r="AU6" s="96" t="s">
        <v>12</v>
      </c>
      <c r="AV6" s="92" t="s">
        <v>376</v>
      </c>
      <c r="AW6" s="75"/>
      <c r="AX6" s="75"/>
      <c r="AY6" s="75"/>
      <c r="AZ6" s="75"/>
      <c r="BA6" s="75"/>
    </row>
    <row r="7" spans="1:53" ht="72.75" x14ac:dyDescent="0.2">
      <c r="A7" s="92"/>
      <c r="B7" s="92"/>
      <c r="C7" s="16" t="s">
        <v>13</v>
      </c>
      <c r="D7" s="16" t="s">
        <v>14</v>
      </c>
      <c r="E7" s="16" t="s">
        <v>15</v>
      </c>
      <c r="F7" s="63" t="s">
        <v>16</v>
      </c>
      <c r="G7" s="54" t="s">
        <v>17</v>
      </c>
      <c r="H7" s="17" t="s">
        <v>18</v>
      </c>
      <c r="I7" s="17" t="s">
        <v>19</v>
      </c>
      <c r="J7" s="47" t="s">
        <v>20</v>
      </c>
      <c r="K7" s="18" t="s">
        <v>21</v>
      </c>
      <c r="L7" s="17" t="s">
        <v>22</v>
      </c>
      <c r="M7" s="17" t="s">
        <v>23</v>
      </c>
      <c r="N7" s="17" t="s">
        <v>24</v>
      </c>
      <c r="O7" s="17" t="s">
        <v>25</v>
      </c>
      <c r="P7" s="19" t="s">
        <v>26</v>
      </c>
      <c r="Q7" s="19" t="s">
        <v>27</v>
      </c>
      <c r="R7" s="17" t="s">
        <v>28</v>
      </c>
      <c r="S7" s="19" t="s">
        <v>29</v>
      </c>
      <c r="T7" s="17" t="s">
        <v>30</v>
      </c>
      <c r="U7" s="17" t="s">
        <v>31</v>
      </c>
      <c r="V7" s="17" t="s">
        <v>32</v>
      </c>
      <c r="W7" s="19" t="s">
        <v>33</v>
      </c>
      <c r="X7" s="19" t="s">
        <v>34</v>
      </c>
      <c r="Y7" s="17" t="s">
        <v>35</v>
      </c>
      <c r="Z7" s="17" t="s">
        <v>36</v>
      </c>
      <c r="AA7" s="17" t="s">
        <v>37</v>
      </c>
      <c r="AB7" s="17" t="s">
        <v>38</v>
      </c>
      <c r="AC7" s="17" t="s">
        <v>39</v>
      </c>
      <c r="AD7" s="17" t="s">
        <v>40</v>
      </c>
      <c r="AE7" s="20" t="s">
        <v>41</v>
      </c>
      <c r="AF7" s="17" t="s">
        <v>40</v>
      </c>
      <c r="AG7" s="17" t="s">
        <v>41</v>
      </c>
      <c r="AH7" s="17" t="s">
        <v>40</v>
      </c>
      <c r="AI7" s="17" t="s">
        <v>41</v>
      </c>
      <c r="AJ7" s="17" t="s">
        <v>42</v>
      </c>
      <c r="AK7" s="17" t="s">
        <v>40</v>
      </c>
      <c r="AL7" s="17" t="s">
        <v>41</v>
      </c>
      <c r="AM7" s="92"/>
      <c r="AN7" s="17" t="s">
        <v>43</v>
      </c>
      <c r="AO7" s="17" t="s">
        <v>44</v>
      </c>
      <c r="AP7" s="17" t="s">
        <v>45</v>
      </c>
      <c r="AQ7" s="92"/>
      <c r="AR7" s="92"/>
      <c r="AS7" s="21" t="s">
        <v>46</v>
      </c>
      <c r="AT7" s="22" t="s">
        <v>47</v>
      </c>
      <c r="AU7" s="96"/>
      <c r="AV7" s="92"/>
      <c r="AW7" s="82" t="s">
        <v>395</v>
      </c>
      <c r="AX7" s="83" t="s">
        <v>396</v>
      </c>
      <c r="AY7" s="82" t="s">
        <v>406</v>
      </c>
      <c r="AZ7" s="82" t="s">
        <v>405</v>
      </c>
      <c r="BA7" s="82" t="s">
        <v>404</v>
      </c>
    </row>
    <row r="8" spans="1:53" x14ac:dyDescent="0.2">
      <c r="A8" s="17">
        <v>1</v>
      </c>
      <c r="B8" s="17">
        <v>2</v>
      </c>
      <c r="C8" s="17">
        <v>3</v>
      </c>
      <c r="D8" s="16">
        <v>4</v>
      </c>
      <c r="E8" s="16">
        <v>5</v>
      </c>
      <c r="F8" s="63">
        <v>6</v>
      </c>
      <c r="G8" s="54">
        <v>7</v>
      </c>
      <c r="H8" s="17">
        <v>8</v>
      </c>
      <c r="I8" s="16">
        <v>9</v>
      </c>
      <c r="J8" s="48">
        <v>10</v>
      </c>
      <c r="K8" s="16">
        <v>11</v>
      </c>
      <c r="L8" s="17">
        <v>12</v>
      </c>
      <c r="M8" s="16">
        <v>13</v>
      </c>
      <c r="N8" s="17">
        <v>14</v>
      </c>
      <c r="O8" s="16">
        <v>15</v>
      </c>
      <c r="P8" s="17">
        <v>16</v>
      </c>
      <c r="Q8" s="16">
        <v>17</v>
      </c>
      <c r="R8" s="17">
        <v>18</v>
      </c>
      <c r="S8" s="16">
        <v>19</v>
      </c>
      <c r="T8" s="17">
        <v>20</v>
      </c>
      <c r="U8" s="16">
        <v>21</v>
      </c>
      <c r="V8" s="17">
        <v>22</v>
      </c>
      <c r="W8" s="16">
        <v>23</v>
      </c>
      <c r="X8" s="17">
        <v>24</v>
      </c>
      <c r="Y8" s="16">
        <v>25</v>
      </c>
      <c r="Z8" s="17">
        <v>26</v>
      </c>
      <c r="AA8" s="16">
        <v>27</v>
      </c>
      <c r="AB8" s="17">
        <v>28</v>
      </c>
      <c r="AC8" s="16">
        <v>29</v>
      </c>
      <c r="AD8" s="17">
        <v>30</v>
      </c>
      <c r="AE8" s="16">
        <v>31</v>
      </c>
      <c r="AF8" s="17">
        <v>32</v>
      </c>
      <c r="AG8" s="16">
        <v>33</v>
      </c>
      <c r="AH8" s="17">
        <v>34</v>
      </c>
      <c r="AI8" s="16">
        <v>35</v>
      </c>
      <c r="AJ8" s="17">
        <v>36</v>
      </c>
      <c r="AK8" s="16">
        <v>37</v>
      </c>
      <c r="AL8" s="17">
        <v>38</v>
      </c>
      <c r="AM8" s="16">
        <v>39</v>
      </c>
      <c r="AN8" s="17">
        <v>40</v>
      </c>
      <c r="AO8" s="16">
        <v>41</v>
      </c>
      <c r="AP8" s="17">
        <v>42</v>
      </c>
      <c r="AQ8" s="16">
        <v>43</v>
      </c>
      <c r="AR8" s="17">
        <v>44</v>
      </c>
      <c r="AS8" s="16">
        <v>45</v>
      </c>
      <c r="AT8" s="17">
        <v>46</v>
      </c>
      <c r="AU8" s="72">
        <v>47</v>
      </c>
      <c r="AV8" s="71"/>
      <c r="AW8" s="13"/>
    </row>
    <row r="9" spans="1:53" ht="93.75" x14ac:dyDescent="0.2">
      <c r="A9" s="23">
        <v>1</v>
      </c>
      <c r="B9" s="23" t="s">
        <v>52</v>
      </c>
      <c r="C9" s="24"/>
      <c r="D9" s="25"/>
      <c r="E9" s="26"/>
      <c r="F9" s="64" t="s">
        <v>53</v>
      </c>
      <c r="G9" s="57" t="s">
        <v>62</v>
      </c>
      <c r="H9" s="12" t="s">
        <v>49</v>
      </c>
      <c r="I9" s="12" t="s">
        <v>49</v>
      </c>
      <c r="J9" s="43">
        <v>1</v>
      </c>
      <c r="K9" s="27" t="s">
        <v>341</v>
      </c>
      <c r="L9" s="27"/>
      <c r="M9" s="27"/>
      <c r="N9" s="27" t="s">
        <v>49</v>
      </c>
      <c r="O9" s="27" t="s">
        <v>49</v>
      </c>
      <c r="P9" s="50">
        <v>265500</v>
      </c>
      <c r="Q9" s="28">
        <f t="shared" ref="Q9:Q72" si="0">J9*P9</f>
        <v>265500</v>
      </c>
      <c r="R9" s="29" t="s">
        <v>50</v>
      </c>
      <c r="S9" s="28">
        <f>E9-Q9</f>
        <v>-265500</v>
      </c>
      <c r="T9" s="27" t="s">
        <v>49</v>
      </c>
      <c r="U9" s="30" t="s">
        <v>49</v>
      </c>
      <c r="V9" s="30"/>
      <c r="W9" s="27" t="s">
        <v>49</v>
      </c>
      <c r="X9" s="27" t="s">
        <v>49</v>
      </c>
      <c r="Y9" s="31" t="s">
        <v>49</v>
      </c>
      <c r="Z9" s="31"/>
      <c r="AA9" s="31" t="s">
        <v>49</v>
      </c>
      <c r="AB9" s="31"/>
      <c r="AC9" s="31" t="s">
        <v>49</v>
      </c>
      <c r="AD9" s="32">
        <v>0</v>
      </c>
      <c r="AE9" s="33">
        <f t="shared" ref="AE9:AE42" si="1">C9*AD9</f>
        <v>0</v>
      </c>
      <c r="AF9" s="34">
        <v>0</v>
      </c>
      <c r="AG9" s="33">
        <f t="shared" ref="AG9:AG72" si="2">C9*AF9</f>
        <v>0</v>
      </c>
      <c r="AH9" s="34">
        <v>0</v>
      </c>
      <c r="AI9" s="33">
        <f t="shared" ref="AI9:AI72" si="3">C9*AH9</f>
        <v>0</v>
      </c>
      <c r="AJ9" s="34" t="s">
        <v>49</v>
      </c>
      <c r="AK9" s="34">
        <v>0</v>
      </c>
      <c r="AL9" s="33">
        <f t="shared" ref="AL9:AL72" si="4">C9*AK9</f>
        <v>0</v>
      </c>
      <c r="AM9" s="35"/>
      <c r="AN9" s="34" t="s">
        <v>49</v>
      </c>
      <c r="AO9" s="34" t="s">
        <v>49</v>
      </c>
      <c r="AP9" s="34" t="s">
        <v>49</v>
      </c>
      <c r="AQ9" s="34" t="s">
        <v>49</v>
      </c>
      <c r="AR9" s="34" t="s">
        <v>49</v>
      </c>
      <c r="AS9" s="27" t="s">
        <v>183</v>
      </c>
      <c r="AT9" s="34" t="s">
        <v>49</v>
      </c>
      <c r="AU9" s="73" t="s">
        <v>358</v>
      </c>
      <c r="AV9" s="91" t="s">
        <v>386</v>
      </c>
      <c r="AW9" s="1" t="s">
        <v>400</v>
      </c>
      <c r="AX9" s="1" t="s">
        <v>399</v>
      </c>
      <c r="AY9" s="1" t="s">
        <v>409</v>
      </c>
      <c r="AZ9" s="89">
        <v>177340</v>
      </c>
      <c r="BA9" s="90">
        <f>AZ9*J9</f>
        <v>177340</v>
      </c>
    </row>
    <row r="10" spans="1:53" ht="93.75" x14ac:dyDescent="0.2">
      <c r="A10" s="23">
        <v>2</v>
      </c>
      <c r="B10" s="23" t="s">
        <v>52</v>
      </c>
      <c r="C10" s="36"/>
      <c r="D10" s="25"/>
      <c r="E10" s="26"/>
      <c r="F10" s="64" t="s">
        <v>54</v>
      </c>
      <c r="G10" s="57" t="s">
        <v>62</v>
      </c>
      <c r="H10" s="12" t="s">
        <v>49</v>
      </c>
      <c r="I10" s="12" t="s">
        <v>49</v>
      </c>
      <c r="J10" s="43">
        <v>1</v>
      </c>
      <c r="K10" s="27" t="s">
        <v>341</v>
      </c>
      <c r="L10" s="27"/>
      <c r="M10" s="27"/>
      <c r="N10" s="27" t="s">
        <v>49</v>
      </c>
      <c r="O10" s="27" t="s">
        <v>49</v>
      </c>
      <c r="P10" s="50">
        <v>265500</v>
      </c>
      <c r="Q10" s="28">
        <f t="shared" si="0"/>
        <v>265500</v>
      </c>
      <c r="R10" s="29" t="s">
        <v>50</v>
      </c>
      <c r="S10" s="28">
        <f t="shared" ref="S10:S72" si="5">E10-Q10</f>
        <v>-265500</v>
      </c>
      <c r="T10" s="27" t="s">
        <v>49</v>
      </c>
      <c r="U10" s="27" t="s">
        <v>49</v>
      </c>
      <c r="V10" s="27" t="s">
        <v>49</v>
      </c>
      <c r="W10" s="27" t="s">
        <v>49</v>
      </c>
      <c r="X10" s="27" t="s">
        <v>49</v>
      </c>
      <c r="Y10" s="31" t="s">
        <v>49</v>
      </c>
      <c r="Z10" s="31"/>
      <c r="AA10" s="31" t="s">
        <v>49</v>
      </c>
      <c r="AB10" s="31"/>
      <c r="AC10" s="31" t="s">
        <v>49</v>
      </c>
      <c r="AD10" s="32">
        <v>0</v>
      </c>
      <c r="AE10" s="33">
        <f t="shared" si="1"/>
        <v>0</v>
      </c>
      <c r="AF10" s="34">
        <v>0</v>
      </c>
      <c r="AG10" s="33">
        <f t="shared" si="2"/>
        <v>0</v>
      </c>
      <c r="AH10" s="34">
        <v>0</v>
      </c>
      <c r="AI10" s="33">
        <f t="shared" si="3"/>
        <v>0</v>
      </c>
      <c r="AJ10" s="34" t="s">
        <v>49</v>
      </c>
      <c r="AK10" s="34">
        <v>0</v>
      </c>
      <c r="AL10" s="33">
        <f t="shared" si="4"/>
        <v>0</v>
      </c>
      <c r="AM10" s="35"/>
      <c r="AN10" s="34" t="s">
        <v>49</v>
      </c>
      <c r="AO10" s="34" t="s">
        <v>49</v>
      </c>
      <c r="AP10" s="34" t="s">
        <v>49</v>
      </c>
      <c r="AQ10" s="34" t="s">
        <v>49</v>
      </c>
      <c r="AR10" s="34" t="s">
        <v>49</v>
      </c>
      <c r="AS10" s="27" t="s">
        <v>183</v>
      </c>
      <c r="AT10" s="34" t="s">
        <v>49</v>
      </c>
      <c r="AU10" s="73" t="s">
        <v>358</v>
      </c>
      <c r="AV10" s="91" t="s">
        <v>386</v>
      </c>
      <c r="AW10" s="1" t="s">
        <v>400</v>
      </c>
      <c r="AX10" s="1" t="s">
        <v>399</v>
      </c>
      <c r="AY10" s="1" t="s">
        <v>409</v>
      </c>
      <c r="AZ10" s="89">
        <v>167290</v>
      </c>
      <c r="BA10" s="90">
        <f>AZ10*J10</f>
        <v>167290</v>
      </c>
    </row>
    <row r="11" spans="1:53" ht="75" x14ac:dyDescent="0.2">
      <c r="A11" s="23">
        <v>3</v>
      </c>
      <c r="B11" s="23" t="s">
        <v>52</v>
      </c>
      <c r="C11" s="24"/>
      <c r="D11" s="25"/>
      <c r="E11" s="26"/>
      <c r="F11" s="64" t="s">
        <v>55</v>
      </c>
      <c r="G11" s="57" t="s">
        <v>63</v>
      </c>
      <c r="H11" s="12" t="s">
        <v>49</v>
      </c>
      <c r="I11" s="12" t="s">
        <v>49</v>
      </c>
      <c r="J11" s="43">
        <v>1</v>
      </c>
      <c r="K11" s="27" t="s">
        <v>341</v>
      </c>
      <c r="L11" s="27"/>
      <c r="M11" s="27"/>
      <c r="N11" s="27" t="s">
        <v>49</v>
      </c>
      <c r="O11" s="27" t="s">
        <v>49</v>
      </c>
      <c r="P11" s="51">
        <v>1732500</v>
      </c>
      <c r="Q11" s="28">
        <f t="shared" si="0"/>
        <v>1732500</v>
      </c>
      <c r="R11" s="29" t="s">
        <v>50</v>
      </c>
      <c r="S11" s="28">
        <f t="shared" si="5"/>
        <v>-1732500</v>
      </c>
      <c r="T11" s="27" t="s">
        <v>49</v>
      </c>
      <c r="U11" s="27" t="s">
        <v>49</v>
      </c>
      <c r="V11" s="27" t="s">
        <v>49</v>
      </c>
      <c r="W11" s="27" t="s">
        <v>49</v>
      </c>
      <c r="X11" s="27" t="s">
        <v>49</v>
      </c>
      <c r="Y11" s="31" t="s">
        <v>49</v>
      </c>
      <c r="Z11" s="31"/>
      <c r="AA11" s="31" t="s">
        <v>49</v>
      </c>
      <c r="AB11" s="31"/>
      <c r="AC11" s="31" t="s">
        <v>49</v>
      </c>
      <c r="AD11" s="32">
        <v>0</v>
      </c>
      <c r="AE11" s="33">
        <f t="shared" si="1"/>
        <v>0</v>
      </c>
      <c r="AF11" s="34">
        <v>0</v>
      </c>
      <c r="AG11" s="33">
        <f t="shared" si="2"/>
        <v>0</v>
      </c>
      <c r="AH11" s="34">
        <v>0</v>
      </c>
      <c r="AI11" s="33">
        <f t="shared" si="3"/>
        <v>0</v>
      </c>
      <c r="AJ11" s="34" t="s">
        <v>49</v>
      </c>
      <c r="AK11" s="34">
        <v>0</v>
      </c>
      <c r="AL11" s="33">
        <f t="shared" si="4"/>
        <v>0</v>
      </c>
      <c r="AM11" s="35"/>
      <c r="AN11" s="34" t="s">
        <v>49</v>
      </c>
      <c r="AO11" s="34" t="s">
        <v>49</v>
      </c>
      <c r="AP11" s="34" t="s">
        <v>49</v>
      </c>
      <c r="AQ11" s="34" t="s">
        <v>49</v>
      </c>
      <c r="AR11" s="34" t="s">
        <v>49</v>
      </c>
      <c r="AS11" s="27" t="s">
        <v>183</v>
      </c>
      <c r="AT11" s="34" t="s">
        <v>49</v>
      </c>
      <c r="AU11" s="73" t="s">
        <v>358</v>
      </c>
      <c r="AV11" s="68" t="s">
        <v>384</v>
      </c>
      <c r="AW11" s="80" t="s">
        <v>394</v>
      </c>
      <c r="AX11" s="80" t="s">
        <v>397</v>
      </c>
      <c r="AY11" s="1" t="s">
        <v>410</v>
      </c>
    </row>
    <row r="12" spans="1:53" ht="56.25" x14ac:dyDescent="0.2">
      <c r="A12" s="23">
        <v>4</v>
      </c>
      <c r="B12" s="23" t="s">
        <v>52</v>
      </c>
      <c r="C12" s="24"/>
      <c r="D12" s="25"/>
      <c r="E12" s="26"/>
      <c r="F12" s="64" t="s">
        <v>56</v>
      </c>
      <c r="G12" s="57" t="s">
        <v>64</v>
      </c>
      <c r="H12" s="12" t="s">
        <v>49</v>
      </c>
      <c r="I12" s="12" t="s">
        <v>49</v>
      </c>
      <c r="J12" s="43">
        <v>1</v>
      </c>
      <c r="K12" s="27" t="s">
        <v>341</v>
      </c>
      <c r="L12" s="27"/>
      <c r="M12" s="27"/>
      <c r="N12" s="27" t="s">
        <v>49</v>
      </c>
      <c r="O12" s="27" t="s">
        <v>49</v>
      </c>
      <c r="P12" s="51">
        <v>13121595</v>
      </c>
      <c r="Q12" s="28">
        <f t="shared" si="0"/>
        <v>13121595</v>
      </c>
      <c r="R12" s="29" t="s">
        <v>50</v>
      </c>
      <c r="S12" s="28">
        <f t="shared" si="5"/>
        <v>-13121595</v>
      </c>
      <c r="T12" s="27" t="s">
        <v>49</v>
      </c>
      <c r="U12" s="27" t="s">
        <v>49</v>
      </c>
      <c r="V12" s="27" t="s">
        <v>49</v>
      </c>
      <c r="W12" s="27" t="s">
        <v>49</v>
      </c>
      <c r="X12" s="27" t="s">
        <v>49</v>
      </c>
      <c r="Y12" s="31" t="s">
        <v>49</v>
      </c>
      <c r="Z12" s="31"/>
      <c r="AA12" s="31" t="s">
        <v>49</v>
      </c>
      <c r="AB12" s="31"/>
      <c r="AC12" s="31" t="s">
        <v>49</v>
      </c>
      <c r="AD12" s="32">
        <v>0</v>
      </c>
      <c r="AE12" s="33">
        <f t="shared" si="1"/>
        <v>0</v>
      </c>
      <c r="AF12" s="34">
        <v>0</v>
      </c>
      <c r="AG12" s="33">
        <f t="shared" si="2"/>
        <v>0</v>
      </c>
      <c r="AH12" s="34">
        <v>0</v>
      </c>
      <c r="AI12" s="33">
        <f t="shared" si="3"/>
        <v>0</v>
      </c>
      <c r="AJ12" s="34" t="s">
        <v>49</v>
      </c>
      <c r="AK12" s="34">
        <v>0</v>
      </c>
      <c r="AL12" s="33">
        <f t="shared" si="4"/>
        <v>0</v>
      </c>
      <c r="AM12" s="35"/>
      <c r="AN12" s="34" t="s">
        <v>49</v>
      </c>
      <c r="AO12" s="34" t="s">
        <v>49</v>
      </c>
      <c r="AP12" s="34" t="s">
        <v>49</v>
      </c>
      <c r="AQ12" s="34" t="s">
        <v>49</v>
      </c>
      <c r="AR12" s="34" t="s">
        <v>49</v>
      </c>
      <c r="AS12" s="27" t="s">
        <v>183</v>
      </c>
      <c r="AT12" s="34" t="s">
        <v>49</v>
      </c>
      <c r="AU12" s="73" t="s">
        <v>366</v>
      </c>
      <c r="AV12" s="68" t="s">
        <v>378</v>
      </c>
      <c r="AW12" s="1" t="s">
        <v>400</v>
      </c>
      <c r="AX12" s="1" t="s">
        <v>399</v>
      </c>
      <c r="AY12" s="1" t="s">
        <v>401</v>
      </c>
    </row>
    <row r="13" spans="1:53" ht="56.25" x14ac:dyDescent="0.2">
      <c r="A13" s="23">
        <v>5</v>
      </c>
      <c r="B13" s="23" t="s">
        <v>52</v>
      </c>
      <c r="C13" s="24"/>
      <c r="D13" s="25"/>
      <c r="E13" s="26"/>
      <c r="F13" s="64" t="s">
        <v>57</v>
      </c>
      <c r="G13" s="57" t="s">
        <v>64</v>
      </c>
      <c r="H13" s="12" t="s">
        <v>49</v>
      </c>
      <c r="I13" s="12" t="s">
        <v>49</v>
      </c>
      <c r="J13" s="43">
        <v>1</v>
      </c>
      <c r="K13" s="27" t="s">
        <v>341</v>
      </c>
      <c r="L13" s="27"/>
      <c r="M13" s="27"/>
      <c r="N13" s="27" t="s">
        <v>49</v>
      </c>
      <c r="O13" s="27" t="s">
        <v>49</v>
      </c>
      <c r="P13" s="51">
        <v>13121595</v>
      </c>
      <c r="Q13" s="28">
        <f t="shared" si="0"/>
        <v>13121595</v>
      </c>
      <c r="R13" s="29" t="s">
        <v>50</v>
      </c>
      <c r="S13" s="28">
        <f t="shared" si="5"/>
        <v>-13121595</v>
      </c>
      <c r="T13" s="27" t="s">
        <v>49</v>
      </c>
      <c r="U13" s="27" t="s">
        <v>49</v>
      </c>
      <c r="V13" s="27" t="s">
        <v>49</v>
      </c>
      <c r="W13" s="27" t="s">
        <v>49</v>
      </c>
      <c r="X13" s="27" t="s">
        <v>49</v>
      </c>
      <c r="Y13" s="31" t="s">
        <v>49</v>
      </c>
      <c r="Z13" s="31"/>
      <c r="AA13" s="31" t="s">
        <v>49</v>
      </c>
      <c r="AB13" s="31"/>
      <c r="AC13" s="31" t="s">
        <v>49</v>
      </c>
      <c r="AD13" s="32">
        <v>0</v>
      </c>
      <c r="AE13" s="33">
        <f t="shared" si="1"/>
        <v>0</v>
      </c>
      <c r="AF13" s="34">
        <v>0</v>
      </c>
      <c r="AG13" s="33">
        <f t="shared" si="2"/>
        <v>0</v>
      </c>
      <c r="AH13" s="34">
        <v>0</v>
      </c>
      <c r="AI13" s="33">
        <f t="shared" si="3"/>
        <v>0</v>
      </c>
      <c r="AJ13" s="34" t="s">
        <v>49</v>
      </c>
      <c r="AK13" s="34">
        <v>0</v>
      </c>
      <c r="AL13" s="33">
        <f t="shared" si="4"/>
        <v>0</v>
      </c>
      <c r="AM13" s="35"/>
      <c r="AN13" s="34" t="s">
        <v>49</v>
      </c>
      <c r="AO13" s="34" t="s">
        <v>49</v>
      </c>
      <c r="AP13" s="34" t="s">
        <v>49</v>
      </c>
      <c r="AQ13" s="34" t="s">
        <v>49</v>
      </c>
      <c r="AR13" s="34" t="s">
        <v>49</v>
      </c>
      <c r="AS13" s="27" t="s">
        <v>183</v>
      </c>
      <c r="AT13" s="34" t="s">
        <v>49</v>
      </c>
      <c r="AU13" s="73" t="s">
        <v>367</v>
      </c>
      <c r="AV13" s="68" t="s">
        <v>378</v>
      </c>
      <c r="AW13" s="1" t="s">
        <v>400</v>
      </c>
      <c r="AX13" s="1" t="s">
        <v>399</v>
      </c>
    </row>
    <row r="14" spans="1:53" ht="56.25" x14ac:dyDescent="0.2">
      <c r="A14" s="23">
        <v>6</v>
      </c>
      <c r="B14" s="23" t="s">
        <v>52</v>
      </c>
      <c r="C14" s="24"/>
      <c r="D14" s="25"/>
      <c r="E14" s="26"/>
      <c r="F14" s="64" t="s">
        <v>58</v>
      </c>
      <c r="G14" s="57" t="s">
        <v>64</v>
      </c>
      <c r="H14" s="12" t="s">
        <v>49</v>
      </c>
      <c r="I14" s="12" t="s">
        <v>49</v>
      </c>
      <c r="J14" s="43">
        <v>1</v>
      </c>
      <c r="K14" s="27" t="s">
        <v>341</v>
      </c>
      <c r="L14" s="27"/>
      <c r="M14" s="27"/>
      <c r="N14" s="27" t="s">
        <v>49</v>
      </c>
      <c r="O14" s="27" t="s">
        <v>49</v>
      </c>
      <c r="P14" s="51">
        <v>20229390</v>
      </c>
      <c r="Q14" s="28">
        <f t="shared" si="0"/>
        <v>20229390</v>
      </c>
      <c r="R14" s="29" t="s">
        <v>50</v>
      </c>
      <c r="S14" s="28">
        <f t="shared" si="5"/>
        <v>-20229390</v>
      </c>
      <c r="T14" s="27" t="s">
        <v>49</v>
      </c>
      <c r="U14" s="27" t="s">
        <v>49</v>
      </c>
      <c r="V14" s="27" t="s">
        <v>49</v>
      </c>
      <c r="W14" s="27" t="s">
        <v>49</v>
      </c>
      <c r="X14" s="27" t="s">
        <v>49</v>
      </c>
      <c r="Y14" s="31" t="s">
        <v>49</v>
      </c>
      <c r="Z14" s="31"/>
      <c r="AA14" s="31" t="s">
        <v>49</v>
      </c>
      <c r="AB14" s="31"/>
      <c r="AC14" s="31" t="s">
        <v>49</v>
      </c>
      <c r="AD14" s="32">
        <v>0</v>
      </c>
      <c r="AE14" s="33">
        <f t="shared" si="1"/>
        <v>0</v>
      </c>
      <c r="AF14" s="34">
        <v>0</v>
      </c>
      <c r="AG14" s="33">
        <f t="shared" si="2"/>
        <v>0</v>
      </c>
      <c r="AH14" s="34">
        <v>0</v>
      </c>
      <c r="AI14" s="33">
        <f t="shared" si="3"/>
        <v>0</v>
      </c>
      <c r="AJ14" s="34" t="s">
        <v>49</v>
      </c>
      <c r="AK14" s="34">
        <v>0</v>
      </c>
      <c r="AL14" s="33">
        <f t="shared" si="4"/>
        <v>0</v>
      </c>
      <c r="AM14" s="35"/>
      <c r="AN14" s="34" t="s">
        <v>49</v>
      </c>
      <c r="AO14" s="34" t="s">
        <v>49</v>
      </c>
      <c r="AP14" s="34" t="s">
        <v>49</v>
      </c>
      <c r="AQ14" s="34" t="s">
        <v>49</v>
      </c>
      <c r="AR14" s="34" t="s">
        <v>49</v>
      </c>
      <c r="AS14" s="27" t="s">
        <v>183</v>
      </c>
      <c r="AT14" s="34" t="s">
        <v>49</v>
      </c>
      <c r="AU14" s="73" t="s">
        <v>366</v>
      </c>
      <c r="AV14" s="68" t="s">
        <v>378</v>
      </c>
      <c r="AW14" s="1" t="s">
        <v>400</v>
      </c>
      <c r="AX14" s="1" t="s">
        <v>399</v>
      </c>
    </row>
    <row r="15" spans="1:53" ht="37.5" x14ac:dyDescent="0.2">
      <c r="A15" s="23">
        <v>7</v>
      </c>
      <c r="B15" s="23" t="s">
        <v>52</v>
      </c>
      <c r="C15" s="24"/>
      <c r="D15" s="25"/>
      <c r="E15" s="26"/>
      <c r="F15" s="64" t="s">
        <v>59</v>
      </c>
      <c r="G15" s="100" t="s">
        <v>65</v>
      </c>
      <c r="H15" s="12" t="s">
        <v>49</v>
      </c>
      <c r="I15" s="12" t="s">
        <v>49</v>
      </c>
      <c r="J15" s="43">
        <v>1</v>
      </c>
      <c r="K15" s="27" t="s">
        <v>341</v>
      </c>
      <c r="L15" s="27"/>
      <c r="M15" s="27"/>
      <c r="N15" s="27" t="s">
        <v>49</v>
      </c>
      <c r="O15" s="27" t="s">
        <v>49</v>
      </c>
      <c r="P15" s="51">
        <v>3084345</v>
      </c>
      <c r="Q15" s="28">
        <f t="shared" si="0"/>
        <v>3084345</v>
      </c>
      <c r="R15" s="29" t="s">
        <v>50</v>
      </c>
      <c r="S15" s="28">
        <f t="shared" si="5"/>
        <v>-3084345</v>
      </c>
      <c r="T15" s="27" t="s">
        <v>49</v>
      </c>
      <c r="U15" s="27" t="s">
        <v>49</v>
      </c>
      <c r="V15" s="27" t="s">
        <v>49</v>
      </c>
      <c r="W15" s="27" t="s">
        <v>49</v>
      </c>
      <c r="X15" s="27" t="s">
        <v>49</v>
      </c>
      <c r="Y15" s="31" t="s">
        <v>49</v>
      </c>
      <c r="Z15" s="31"/>
      <c r="AA15" s="31" t="s">
        <v>49</v>
      </c>
      <c r="AB15" s="31"/>
      <c r="AC15" s="31" t="s">
        <v>49</v>
      </c>
      <c r="AD15" s="32">
        <v>0</v>
      </c>
      <c r="AE15" s="33">
        <f t="shared" si="1"/>
        <v>0</v>
      </c>
      <c r="AF15" s="34">
        <v>0</v>
      </c>
      <c r="AG15" s="33">
        <f t="shared" si="2"/>
        <v>0</v>
      </c>
      <c r="AH15" s="34">
        <v>0</v>
      </c>
      <c r="AI15" s="33">
        <f t="shared" si="3"/>
        <v>0</v>
      </c>
      <c r="AJ15" s="34" t="s">
        <v>49</v>
      </c>
      <c r="AK15" s="34">
        <v>0</v>
      </c>
      <c r="AL15" s="33">
        <f t="shared" si="4"/>
        <v>0</v>
      </c>
      <c r="AM15" s="35"/>
      <c r="AN15" s="34" t="s">
        <v>49</v>
      </c>
      <c r="AO15" s="34" t="s">
        <v>49</v>
      </c>
      <c r="AP15" s="34" t="s">
        <v>49</v>
      </c>
      <c r="AQ15" s="34" t="s">
        <v>49</v>
      </c>
      <c r="AR15" s="34" t="s">
        <v>49</v>
      </c>
      <c r="AS15" s="27" t="s">
        <v>183</v>
      </c>
      <c r="AT15" s="34" t="s">
        <v>49</v>
      </c>
      <c r="AU15" s="73" t="s">
        <v>350</v>
      </c>
      <c r="AV15" s="68" t="s">
        <v>379</v>
      </c>
      <c r="AW15" s="80" t="s">
        <v>393</v>
      </c>
    </row>
    <row r="16" spans="1:53" ht="56.25" x14ac:dyDescent="0.2">
      <c r="A16" s="23">
        <v>8</v>
      </c>
      <c r="B16" s="23" t="s">
        <v>52</v>
      </c>
      <c r="C16" s="24"/>
      <c r="D16" s="25"/>
      <c r="E16" s="26"/>
      <c r="F16" s="64" t="s">
        <v>60</v>
      </c>
      <c r="G16" s="57" t="s">
        <v>66</v>
      </c>
      <c r="H16" s="12" t="s">
        <v>49</v>
      </c>
      <c r="I16" s="12" t="s">
        <v>49</v>
      </c>
      <c r="J16" s="43">
        <v>2</v>
      </c>
      <c r="K16" s="27" t="s">
        <v>341</v>
      </c>
      <c r="L16" s="27"/>
      <c r="M16" s="27"/>
      <c r="N16" s="27" t="s">
        <v>49</v>
      </c>
      <c r="O16" s="27" t="s">
        <v>49</v>
      </c>
      <c r="P16" s="51">
        <v>12451320</v>
      </c>
      <c r="Q16" s="28">
        <f t="shared" si="0"/>
        <v>24902640</v>
      </c>
      <c r="R16" s="29" t="s">
        <v>50</v>
      </c>
      <c r="S16" s="28">
        <f t="shared" si="5"/>
        <v>-24902640</v>
      </c>
      <c r="T16" s="27" t="s">
        <v>49</v>
      </c>
      <c r="U16" s="27" t="s">
        <v>49</v>
      </c>
      <c r="V16" s="27" t="s">
        <v>49</v>
      </c>
      <c r="W16" s="27" t="s">
        <v>49</v>
      </c>
      <c r="X16" s="27" t="s">
        <v>49</v>
      </c>
      <c r="Y16" s="31" t="s">
        <v>49</v>
      </c>
      <c r="Z16" s="31"/>
      <c r="AA16" s="31" t="s">
        <v>49</v>
      </c>
      <c r="AB16" s="31"/>
      <c r="AC16" s="31" t="s">
        <v>49</v>
      </c>
      <c r="AD16" s="32">
        <v>0</v>
      </c>
      <c r="AE16" s="33">
        <f t="shared" si="1"/>
        <v>0</v>
      </c>
      <c r="AF16" s="34">
        <v>0</v>
      </c>
      <c r="AG16" s="33">
        <f t="shared" si="2"/>
        <v>0</v>
      </c>
      <c r="AH16" s="34">
        <v>0</v>
      </c>
      <c r="AI16" s="33">
        <f t="shared" si="3"/>
        <v>0</v>
      </c>
      <c r="AJ16" s="34" t="s">
        <v>49</v>
      </c>
      <c r="AK16" s="34">
        <v>0</v>
      </c>
      <c r="AL16" s="33">
        <f t="shared" si="4"/>
        <v>0</v>
      </c>
      <c r="AM16" s="35"/>
      <c r="AN16" s="34" t="s">
        <v>49</v>
      </c>
      <c r="AO16" s="34" t="s">
        <v>49</v>
      </c>
      <c r="AP16" s="34" t="s">
        <v>49</v>
      </c>
      <c r="AQ16" s="34" t="s">
        <v>49</v>
      </c>
      <c r="AR16" s="34" t="s">
        <v>49</v>
      </c>
      <c r="AS16" s="27" t="s">
        <v>183</v>
      </c>
      <c r="AT16" s="34" t="s">
        <v>49</v>
      </c>
      <c r="AU16" s="73" t="s">
        <v>366</v>
      </c>
      <c r="AV16" s="68" t="s">
        <v>379</v>
      </c>
      <c r="AW16" s="80" t="s">
        <v>393</v>
      </c>
    </row>
    <row r="17" spans="1:50" ht="75" x14ac:dyDescent="0.2">
      <c r="A17" s="23">
        <v>9</v>
      </c>
      <c r="B17" s="23" t="s">
        <v>52</v>
      </c>
      <c r="C17" s="24"/>
      <c r="D17" s="25"/>
      <c r="E17" s="26"/>
      <c r="F17" s="64" t="s">
        <v>61</v>
      </c>
      <c r="G17" s="57" t="s">
        <v>67</v>
      </c>
      <c r="H17" s="12" t="s">
        <v>49</v>
      </c>
      <c r="I17" s="12" t="s">
        <v>49</v>
      </c>
      <c r="J17" s="43">
        <v>1</v>
      </c>
      <c r="K17" s="27" t="s">
        <v>341</v>
      </c>
      <c r="L17" s="27"/>
      <c r="M17" s="27"/>
      <c r="N17" s="27" t="s">
        <v>49</v>
      </c>
      <c r="O17" s="27" t="s">
        <v>49</v>
      </c>
      <c r="P17" s="51">
        <v>1678500</v>
      </c>
      <c r="Q17" s="28">
        <f t="shared" si="0"/>
        <v>1678500</v>
      </c>
      <c r="R17" s="29" t="s">
        <v>50</v>
      </c>
      <c r="S17" s="28">
        <f t="shared" si="5"/>
        <v>-1678500</v>
      </c>
      <c r="T17" s="27" t="s">
        <v>49</v>
      </c>
      <c r="U17" s="27" t="s">
        <v>49</v>
      </c>
      <c r="V17" s="27" t="s">
        <v>49</v>
      </c>
      <c r="W17" s="27" t="s">
        <v>49</v>
      </c>
      <c r="X17" s="27" t="s">
        <v>49</v>
      </c>
      <c r="Y17" s="31" t="s">
        <v>49</v>
      </c>
      <c r="Z17" s="31"/>
      <c r="AA17" s="31" t="s">
        <v>49</v>
      </c>
      <c r="AB17" s="31"/>
      <c r="AC17" s="31" t="s">
        <v>49</v>
      </c>
      <c r="AD17" s="32">
        <v>0</v>
      </c>
      <c r="AE17" s="33">
        <f t="shared" si="1"/>
        <v>0</v>
      </c>
      <c r="AF17" s="34">
        <v>0</v>
      </c>
      <c r="AG17" s="33">
        <f t="shared" si="2"/>
        <v>0</v>
      </c>
      <c r="AH17" s="34">
        <v>0</v>
      </c>
      <c r="AI17" s="33">
        <f t="shared" si="3"/>
        <v>0</v>
      </c>
      <c r="AJ17" s="34" t="s">
        <v>49</v>
      </c>
      <c r="AK17" s="34">
        <v>0</v>
      </c>
      <c r="AL17" s="33">
        <f t="shared" si="4"/>
        <v>0</v>
      </c>
      <c r="AM17" s="35"/>
      <c r="AN17" s="34" t="s">
        <v>49</v>
      </c>
      <c r="AO17" s="34" t="s">
        <v>49</v>
      </c>
      <c r="AP17" s="34" t="s">
        <v>49</v>
      </c>
      <c r="AQ17" s="34" t="s">
        <v>49</v>
      </c>
      <c r="AR17" s="34" t="s">
        <v>49</v>
      </c>
      <c r="AS17" s="27" t="s">
        <v>183</v>
      </c>
      <c r="AT17" s="34" t="s">
        <v>49</v>
      </c>
      <c r="AU17" s="73" t="s">
        <v>358</v>
      </c>
      <c r="AV17" s="68" t="s">
        <v>384</v>
      </c>
      <c r="AW17" s="80" t="s">
        <v>394</v>
      </c>
      <c r="AX17" s="80" t="s">
        <v>397</v>
      </c>
    </row>
    <row r="18" spans="1:50" ht="56.25" x14ac:dyDescent="0.2">
      <c r="A18" s="23">
        <v>10</v>
      </c>
      <c r="B18" s="23" t="s">
        <v>52</v>
      </c>
      <c r="C18" s="24"/>
      <c r="D18" s="25"/>
      <c r="E18" s="26"/>
      <c r="F18" s="64" t="s">
        <v>68</v>
      </c>
      <c r="G18" s="57" t="s">
        <v>88</v>
      </c>
      <c r="H18" s="12" t="s">
        <v>49</v>
      </c>
      <c r="I18" s="12" t="s">
        <v>49</v>
      </c>
      <c r="J18" s="43">
        <v>1</v>
      </c>
      <c r="K18" s="27" t="s">
        <v>341</v>
      </c>
      <c r="L18" s="27"/>
      <c r="M18" s="27"/>
      <c r="N18" s="27" t="s">
        <v>49</v>
      </c>
      <c r="O18" s="27" t="s">
        <v>49</v>
      </c>
      <c r="P18" s="51">
        <v>1990935</v>
      </c>
      <c r="Q18" s="28">
        <f t="shared" si="0"/>
        <v>1990935</v>
      </c>
      <c r="R18" s="29" t="s">
        <v>50</v>
      </c>
      <c r="S18" s="28">
        <f t="shared" si="5"/>
        <v>-1990935</v>
      </c>
      <c r="T18" s="27" t="s">
        <v>49</v>
      </c>
      <c r="U18" s="27" t="s">
        <v>49</v>
      </c>
      <c r="V18" s="27" t="s">
        <v>49</v>
      </c>
      <c r="W18" s="27" t="s">
        <v>49</v>
      </c>
      <c r="X18" s="27" t="s">
        <v>49</v>
      </c>
      <c r="Y18" s="31" t="s">
        <v>49</v>
      </c>
      <c r="Z18" s="31"/>
      <c r="AA18" s="31" t="s">
        <v>49</v>
      </c>
      <c r="AB18" s="31"/>
      <c r="AC18" s="31" t="s">
        <v>49</v>
      </c>
      <c r="AD18" s="32">
        <v>0</v>
      </c>
      <c r="AE18" s="33">
        <f t="shared" si="1"/>
        <v>0</v>
      </c>
      <c r="AF18" s="34">
        <v>0</v>
      </c>
      <c r="AG18" s="33">
        <f t="shared" si="2"/>
        <v>0</v>
      </c>
      <c r="AH18" s="34">
        <v>0</v>
      </c>
      <c r="AI18" s="33">
        <f t="shared" si="3"/>
        <v>0</v>
      </c>
      <c r="AJ18" s="34" t="s">
        <v>49</v>
      </c>
      <c r="AK18" s="34">
        <v>0</v>
      </c>
      <c r="AL18" s="33">
        <f t="shared" si="4"/>
        <v>0</v>
      </c>
      <c r="AM18" s="35"/>
      <c r="AN18" s="34" t="s">
        <v>49</v>
      </c>
      <c r="AO18" s="34" t="s">
        <v>49</v>
      </c>
      <c r="AP18" s="34" t="s">
        <v>49</v>
      </c>
      <c r="AQ18" s="34" t="s">
        <v>49</v>
      </c>
      <c r="AR18" s="34" t="s">
        <v>49</v>
      </c>
      <c r="AS18" s="27" t="s">
        <v>183</v>
      </c>
      <c r="AT18" s="34" t="s">
        <v>49</v>
      </c>
      <c r="AU18" s="73" t="s">
        <v>366</v>
      </c>
      <c r="AV18" s="68" t="s">
        <v>379</v>
      </c>
      <c r="AW18" s="80" t="s">
        <v>393</v>
      </c>
    </row>
    <row r="19" spans="1:50" ht="112.5" x14ac:dyDescent="0.2">
      <c r="A19" s="23">
        <v>11</v>
      </c>
      <c r="B19" s="23" t="s">
        <v>52</v>
      </c>
      <c r="C19" s="24"/>
      <c r="D19" s="25"/>
      <c r="E19" s="26"/>
      <c r="F19" s="64" t="s">
        <v>69</v>
      </c>
      <c r="G19" s="57" t="s">
        <v>88</v>
      </c>
      <c r="H19" s="12" t="s">
        <v>49</v>
      </c>
      <c r="I19" s="12" t="s">
        <v>49</v>
      </c>
      <c r="J19" s="43">
        <v>1</v>
      </c>
      <c r="K19" s="27" t="s">
        <v>341</v>
      </c>
      <c r="L19" s="27"/>
      <c r="M19" s="27"/>
      <c r="N19" s="27" t="s">
        <v>49</v>
      </c>
      <c r="O19" s="27" t="s">
        <v>49</v>
      </c>
      <c r="P19" s="51">
        <v>2049795</v>
      </c>
      <c r="Q19" s="28">
        <f t="shared" si="0"/>
        <v>2049795</v>
      </c>
      <c r="R19" s="29" t="s">
        <v>50</v>
      </c>
      <c r="S19" s="28">
        <f t="shared" si="5"/>
        <v>-2049795</v>
      </c>
      <c r="T19" s="27" t="s">
        <v>49</v>
      </c>
      <c r="U19" s="27" t="s">
        <v>49</v>
      </c>
      <c r="V19" s="27" t="s">
        <v>49</v>
      </c>
      <c r="W19" s="27" t="s">
        <v>49</v>
      </c>
      <c r="X19" s="27" t="s">
        <v>49</v>
      </c>
      <c r="Y19" s="31" t="s">
        <v>49</v>
      </c>
      <c r="Z19" s="31"/>
      <c r="AA19" s="31" t="s">
        <v>49</v>
      </c>
      <c r="AB19" s="31"/>
      <c r="AC19" s="31" t="s">
        <v>49</v>
      </c>
      <c r="AD19" s="32">
        <v>0</v>
      </c>
      <c r="AE19" s="33">
        <f t="shared" si="1"/>
        <v>0</v>
      </c>
      <c r="AF19" s="34">
        <v>0</v>
      </c>
      <c r="AG19" s="33">
        <f t="shared" si="2"/>
        <v>0</v>
      </c>
      <c r="AH19" s="34">
        <v>0</v>
      </c>
      <c r="AI19" s="33">
        <f t="shared" si="3"/>
        <v>0</v>
      </c>
      <c r="AJ19" s="34" t="s">
        <v>49</v>
      </c>
      <c r="AK19" s="34">
        <v>0</v>
      </c>
      <c r="AL19" s="33">
        <f t="shared" si="4"/>
        <v>0</v>
      </c>
      <c r="AM19" s="35"/>
      <c r="AN19" s="34" t="s">
        <v>49</v>
      </c>
      <c r="AO19" s="34" t="s">
        <v>49</v>
      </c>
      <c r="AP19" s="34" t="s">
        <v>49</v>
      </c>
      <c r="AQ19" s="34" t="s">
        <v>49</v>
      </c>
      <c r="AR19" s="34" t="s">
        <v>49</v>
      </c>
      <c r="AS19" s="27" t="s">
        <v>183</v>
      </c>
      <c r="AT19" s="34" t="s">
        <v>49</v>
      </c>
      <c r="AU19" s="73" t="s">
        <v>366</v>
      </c>
      <c r="AV19" s="68" t="s">
        <v>379</v>
      </c>
      <c r="AW19" s="80" t="s">
        <v>393</v>
      </c>
    </row>
    <row r="20" spans="1:50" ht="112.5" x14ac:dyDescent="0.2">
      <c r="A20" s="23">
        <v>12</v>
      </c>
      <c r="B20" s="23" t="s">
        <v>52</v>
      </c>
      <c r="C20" s="24"/>
      <c r="D20" s="25"/>
      <c r="E20" s="26"/>
      <c r="F20" s="64" t="s">
        <v>361</v>
      </c>
      <c r="G20" s="57" t="s">
        <v>89</v>
      </c>
      <c r="H20" s="12" t="s">
        <v>49</v>
      </c>
      <c r="I20" s="12" t="s">
        <v>49</v>
      </c>
      <c r="J20" s="43">
        <v>1</v>
      </c>
      <c r="K20" s="27" t="s">
        <v>341</v>
      </c>
      <c r="L20" s="27"/>
      <c r="M20" s="27"/>
      <c r="N20" s="27" t="s">
        <v>49</v>
      </c>
      <c r="O20" s="27" t="s">
        <v>49</v>
      </c>
      <c r="P20" s="51">
        <v>39327120</v>
      </c>
      <c r="Q20" s="28">
        <f t="shared" si="0"/>
        <v>39327120</v>
      </c>
      <c r="R20" s="29" t="s">
        <v>50</v>
      </c>
      <c r="S20" s="28">
        <f t="shared" si="5"/>
        <v>-39327120</v>
      </c>
      <c r="T20" s="27" t="s">
        <v>49</v>
      </c>
      <c r="U20" s="27" t="s">
        <v>49</v>
      </c>
      <c r="V20" s="27" t="s">
        <v>49</v>
      </c>
      <c r="W20" s="27" t="s">
        <v>49</v>
      </c>
      <c r="X20" s="27" t="s">
        <v>49</v>
      </c>
      <c r="Y20" s="31" t="s">
        <v>49</v>
      </c>
      <c r="Z20" s="31"/>
      <c r="AA20" s="31" t="s">
        <v>49</v>
      </c>
      <c r="AB20" s="31"/>
      <c r="AC20" s="31" t="s">
        <v>49</v>
      </c>
      <c r="AD20" s="32">
        <v>0</v>
      </c>
      <c r="AE20" s="33">
        <f t="shared" si="1"/>
        <v>0</v>
      </c>
      <c r="AF20" s="34">
        <v>0</v>
      </c>
      <c r="AG20" s="33">
        <f t="shared" si="2"/>
        <v>0</v>
      </c>
      <c r="AH20" s="34">
        <v>0</v>
      </c>
      <c r="AI20" s="33">
        <f t="shared" si="3"/>
        <v>0</v>
      </c>
      <c r="AJ20" s="34" t="s">
        <v>49</v>
      </c>
      <c r="AK20" s="34">
        <v>0</v>
      </c>
      <c r="AL20" s="33">
        <f t="shared" si="4"/>
        <v>0</v>
      </c>
      <c r="AM20" s="35"/>
      <c r="AN20" s="34" t="s">
        <v>49</v>
      </c>
      <c r="AO20" s="34" t="s">
        <v>49</v>
      </c>
      <c r="AP20" s="34" t="s">
        <v>49</v>
      </c>
      <c r="AQ20" s="34" t="s">
        <v>49</v>
      </c>
      <c r="AR20" s="34" t="s">
        <v>49</v>
      </c>
      <c r="AS20" s="27" t="s">
        <v>183</v>
      </c>
      <c r="AT20" s="34" t="s">
        <v>49</v>
      </c>
      <c r="AU20" s="73" t="s">
        <v>364</v>
      </c>
      <c r="AV20" s="68" t="s">
        <v>379</v>
      </c>
      <c r="AW20" s="80" t="s">
        <v>393</v>
      </c>
    </row>
    <row r="21" spans="1:50" ht="37.5" x14ac:dyDescent="0.2">
      <c r="A21" s="23">
        <v>13</v>
      </c>
      <c r="B21" s="23" t="s">
        <v>52</v>
      </c>
      <c r="C21" s="24"/>
      <c r="D21" s="25"/>
      <c r="E21" s="26"/>
      <c r="F21" s="64" t="s">
        <v>70</v>
      </c>
      <c r="G21" s="100" t="s">
        <v>65</v>
      </c>
      <c r="H21" s="12" t="s">
        <v>49</v>
      </c>
      <c r="I21" s="12" t="s">
        <v>49</v>
      </c>
      <c r="J21" s="43">
        <v>2</v>
      </c>
      <c r="K21" s="27" t="s">
        <v>341</v>
      </c>
      <c r="L21" s="27"/>
      <c r="M21" s="27"/>
      <c r="N21" s="27" t="s">
        <v>49</v>
      </c>
      <c r="O21" s="27" t="s">
        <v>49</v>
      </c>
      <c r="P21" s="51">
        <v>3295485</v>
      </c>
      <c r="Q21" s="28">
        <f t="shared" si="0"/>
        <v>6590970</v>
      </c>
      <c r="R21" s="29" t="s">
        <v>50</v>
      </c>
      <c r="S21" s="28">
        <f t="shared" si="5"/>
        <v>-6590970</v>
      </c>
      <c r="T21" s="27" t="s">
        <v>49</v>
      </c>
      <c r="U21" s="27" t="s">
        <v>49</v>
      </c>
      <c r="V21" s="27" t="s">
        <v>49</v>
      </c>
      <c r="W21" s="27" t="s">
        <v>49</v>
      </c>
      <c r="X21" s="27" t="s">
        <v>49</v>
      </c>
      <c r="Y21" s="31" t="s">
        <v>49</v>
      </c>
      <c r="Z21" s="31"/>
      <c r="AA21" s="31" t="s">
        <v>49</v>
      </c>
      <c r="AB21" s="31"/>
      <c r="AC21" s="31" t="s">
        <v>49</v>
      </c>
      <c r="AD21" s="32">
        <v>0</v>
      </c>
      <c r="AE21" s="33">
        <f t="shared" si="1"/>
        <v>0</v>
      </c>
      <c r="AF21" s="34">
        <v>0</v>
      </c>
      <c r="AG21" s="33">
        <f t="shared" si="2"/>
        <v>0</v>
      </c>
      <c r="AH21" s="34">
        <v>0</v>
      </c>
      <c r="AI21" s="33">
        <f t="shared" si="3"/>
        <v>0</v>
      </c>
      <c r="AJ21" s="34" t="s">
        <v>49</v>
      </c>
      <c r="AK21" s="34">
        <v>0</v>
      </c>
      <c r="AL21" s="33">
        <f t="shared" si="4"/>
        <v>0</v>
      </c>
      <c r="AM21" s="35"/>
      <c r="AN21" s="34" t="s">
        <v>49</v>
      </c>
      <c r="AO21" s="34" t="s">
        <v>49</v>
      </c>
      <c r="AP21" s="34" t="s">
        <v>49</v>
      </c>
      <c r="AQ21" s="34" t="s">
        <v>49</v>
      </c>
      <c r="AR21" s="34" t="s">
        <v>49</v>
      </c>
      <c r="AS21" s="27" t="s">
        <v>183</v>
      </c>
      <c r="AT21" s="34" t="s">
        <v>49</v>
      </c>
      <c r="AU21" s="73" t="s">
        <v>350</v>
      </c>
      <c r="AV21" s="68" t="s">
        <v>379</v>
      </c>
      <c r="AW21" s="80" t="s">
        <v>393</v>
      </c>
    </row>
    <row r="22" spans="1:50" ht="56.25" x14ac:dyDescent="0.2">
      <c r="A22" s="23">
        <v>14</v>
      </c>
      <c r="B22" s="23" t="s">
        <v>52</v>
      </c>
      <c r="C22" s="24"/>
      <c r="D22" s="25"/>
      <c r="E22" s="26"/>
      <c r="F22" s="64" t="s">
        <v>71</v>
      </c>
      <c r="G22" s="57" t="s">
        <v>90</v>
      </c>
      <c r="H22" s="12" t="s">
        <v>49</v>
      </c>
      <c r="I22" s="12" t="s">
        <v>49</v>
      </c>
      <c r="J22" s="43">
        <v>1</v>
      </c>
      <c r="K22" s="27" t="s">
        <v>341</v>
      </c>
      <c r="L22" s="27"/>
      <c r="M22" s="27"/>
      <c r="N22" s="27" t="s">
        <v>49</v>
      </c>
      <c r="O22" s="27" t="s">
        <v>49</v>
      </c>
      <c r="P22" s="51">
        <v>3240000</v>
      </c>
      <c r="Q22" s="28">
        <f t="shared" si="0"/>
        <v>3240000</v>
      </c>
      <c r="R22" s="29" t="s">
        <v>50</v>
      </c>
      <c r="S22" s="28">
        <f t="shared" si="5"/>
        <v>-3240000</v>
      </c>
      <c r="T22" s="27" t="s">
        <v>49</v>
      </c>
      <c r="U22" s="27" t="s">
        <v>49</v>
      </c>
      <c r="V22" s="27" t="s">
        <v>49</v>
      </c>
      <c r="W22" s="27" t="s">
        <v>49</v>
      </c>
      <c r="X22" s="27" t="s">
        <v>49</v>
      </c>
      <c r="Y22" s="31" t="s">
        <v>49</v>
      </c>
      <c r="Z22" s="31"/>
      <c r="AA22" s="31" t="s">
        <v>49</v>
      </c>
      <c r="AB22" s="31"/>
      <c r="AC22" s="31" t="s">
        <v>49</v>
      </c>
      <c r="AD22" s="32">
        <v>0</v>
      </c>
      <c r="AE22" s="33">
        <f t="shared" si="1"/>
        <v>0</v>
      </c>
      <c r="AF22" s="34">
        <v>0</v>
      </c>
      <c r="AG22" s="33">
        <f t="shared" si="2"/>
        <v>0</v>
      </c>
      <c r="AH22" s="34">
        <v>0</v>
      </c>
      <c r="AI22" s="33">
        <f t="shared" si="3"/>
        <v>0</v>
      </c>
      <c r="AJ22" s="34" t="s">
        <v>49</v>
      </c>
      <c r="AK22" s="34">
        <v>0</v>
      </c>
      <c r="AL22" s="33">
        <f t="shared" si="4"/>
        <v>0</v>
      </c>
      <c r="AM22" s="35"/>
      <c r="AN22" s="34" t="s">
        <v>49</v>
      </c>
      <c r="AO22" s="34" t="s">
        <v>49</v>
      </c>
      <c r="AP22" s="34" t="s">
        <v>49</v>
      </c>
      <c r="AQ22" s="34" t="s">
        <v>49</v>
      </c>
      <c r="AR22" s="34" t="s">
        <v>49</v>
      </c>
      <c r="AS22" s="27" t="s">
        <v>183</v>
      </c>
      <c r="AT22" s="34" t="s">
        <v>49</v>
      </c>
      <c r="AU22" s="73" t="s">
        <v>366</v>
      </c>
      <c r="AV22" s="68" t="s">
        <v>379</v>
      </c>
      <c r="AW22" s="80" t="s">
        <v>393</v>
      </c>
    </row>
    <row r="23" spans="1:50" ht="37.5" x14ac:dyDescent="0.2">
      <c r="A23" s="23">
        <v>15</v>
      </c>
      <c r="B23" s="23" t="s">
        <v>52</v>
      </c>
      <c r="C23" s="24"/>
      <c r="D23" s="25"/>
      <c r="E23" s="26"/>
      <c r="F23" s="64" t="s">
        <v>72</v>
      </c>
      <c r="G23" s="57" t="s">
        <v>91</v>
      </c>
      <c r="H23" s="12" t="s">
        <v>49</v>
      </c>
      <c r="I23" s="12" t="s">
        <v>49</v>
      </c>
      <c r="J23" s="43">
        <v>1</v>
      </c>
      <c r="K23" s="27" t="s">
        <v>341</v>
      </c>
      <c r="L23" s="27"/>
      <c r="M23" s="27"/>
      <c r="N23" s="27" t="s">
        <v>49</v>
      </c>
      <c r="O23" s="27" t="s">
        <v>49</v>
      </c>
      <c r="P23" s="51">
        <v>3667410</v>
      </c>
      <c r="Q23" s="28">
        <f t="shared" si="0"/>
        <v>3667410</v>
      </c>
      <c r="R23" s="29" t="s">
        <v>50</v>
      </c>
      <c r="S23" s="28">
        <f t="shared" si="5"/>
        <v>-3667410</v>
      </c>
      <c r="T23" s="27" t="s">
        <v>49</v>
      </c>
      <c r="U23" s="27" t="s">
        <v>49</v>
      </c>
      <c r="V23" s="27" t="s">
        <v>49</v>
      </c>
      <c r="W23" s="27" t="s">
        <v>49</v>
      </c>
      <c r="X23" s="27" t="s">
        <v>49</v>
      </c>
      <c r="Y23" s="31" t="s">
        <v>49</v>
      </c>
      <c r="Z23" s="31"/>
      <c r="AA23" s="31" t="s">
        <v>49</v>
      </c>
      <c r="AB23" s="31"/>
      <c r="AC23" s="31" t="s">
        <v>49</v>
      </c>
      <c r="AD23" s="32">
        <v>0</v>
      </c>
      <c r="AE23" s="33">
        <f t="shared" si="1"/>
        <v>0</v>
      </c>
      <c r="AF23" s="34">
        <v>0</v>
      </c>
      <c r="AG23" s="33">
        <f t="shared" si="2"/>
        <v>0</v>
      </c>
      <c r="AH23" s="34">
        <v>0</v>
      </c>
      <c r="AI23" s="33">
        <f t="shared" si="3"/>
        <v>0</v>
      </c>
      <c r="AJ23" s="34" t="s">
        <v>49</v>
      </c>
      <c r="AK23" s="34">
        <v>0</v>
      </c>
      <c r="AL23" s="33">
        <f t="shared" si="4"/>
        <v>0</v>
      </c>
      <c r="AM23" s="35"/>
      <c r="AN23" s="34" t="s">
        <v>49</v>
      </c>
      <c r="AO23" s="34" t="s">
        <v>49</v>
      </c>
      <c r="AP23" s="34" t="s">
        <v>49</v>
      </c>
      <c r="AQ23" s="34" t="s">
        <v>49</v>
      </c>
      <c r="AR23" s="34" t="s">
        <v>49</v>
      </c>
      <c r="AS23" s="27" t="s">
        <v>183</v>
      </c>
      <c r="AT23" s="34" t="s">
        <v>49</v>
      </c>
      <c r="AU23" s="73" t="s">
        <v>366</v>
      </c>
      <c r="AV23" s="68" t="s">
        <v>379</v>
      </c>
      <c r="AW23" s="80" t="s">
        <v>393</v>
      </c>
    </row>
    <row r="24" spans="1:50" ht="37.5" x14ac:dyDescent="0.2">
      <c r="A24" s="23">
        <v>16</v>
      </c>
      <c r="B24" s="23" t="s">
        <v>52</v>
      </c>
      <c r="C24" s="24"/>
      <c r="D24" s="25"/>
      <c r="E24" s="26"/>
      <c r="F24" s="64" t="s">
        <v>73</v>
      </c>
      <c r="G24" s="57" t="s">
        <v>90</v>
      </c>
      <c r="H24" s="12" t="s">
        <v>49</v>
      </c>
      <c r="I24" s="12" t="s">
        <v>49</v>
      </c>
      <c r="J24" s="43">
        <v>1</v>
      </c>
      <c r="K24" s="27" t="s">
        <v>341</v>
      </c>
      <c r="L24" s="27"/>
      <c r="M24" s="27"/>
      <c r="N24" s="27" t="s">
        <v>49</v>
      </c>
      <c r="O24" s="27" t="s">
        <v>49</v>
      </c>
      <c r="P24" s="51">
        <v>3241800</v>
      </c>
      <c r="Q24" s="28">
        <f t="shared" si="0"/>
        <v>3241800</v>
      </c>
      <c r="R24" s="29" t="s">
        <v>50</v>
      </c>
      <c r="S24" s="28">
        <f t="shared" si="5"/>
        <v>-3241800</v>
      </c>
      <c r="T24" s="27" t="s">
        <v>49</v>
      </c>
      <c r="U24" s="27" t="s">
        <v>49</v>
      </c>
      <c r="V24" s="27" t="s">
        <v>49</v>
      </c>
      <c r="W24" s="27" t="s">
        <v>49</v>
      </c>
      <c r="X24" s="27" t="s">
        <v>49</v>
      </c>
      <c r="Y24" s="31" t="s">
        <v>49</v>
      </c>
      <c r="Z24" s="31"/>
      <c r="AA24" s="31" t="s">
        <v>49</v>
      </c>
      <c r="AB24" s="31"/>
      <c r="AC24" s="31" t="s">
        <v>49</v>
      </c>
      <c r="AD24" s="32">
        <v>0</v>
      </c>
      <c r="AE24" s="33">
        <f t="shared" si="1"/>
        <v>0</v>
      </c>
      <c r="AF24" s="34">
        <v>0</v>
      </c>
      <c r="AG24" s="33">
        <f t="shared" si="2"/>
        <v>0</v>
      </c>
      <c r="AH24" s="34">
        <v>0</v>
      </c>
      <c r="AI24" s="33">
        <f t="shared" si="3"/>
        <v>0</v>
      </c>
      <c r="AJ24" s="34" t="s">
        <v>49</v>
      </c>
      <c r="AK24" s="34">
        <v>0</v>
      </c>
      <c r="AL24" s="33">
        <f t="shared" si="4"/>
        <v>0</v>
      </c>
      <c r="AM24" s="35"/>
      <c r="AN24" s="34" t="s">
        <v>49</v>
      </c>
      <c r="AO24" s="34" t="s">
        <v>49</v>
      </c>
      <c r="AP24" s="34" t="s">
        <v>49</v>
      </c>
      <c r="AQ24" s="34" t="s">
        <v>49</v>
      </c>
      <c r="AR24" s="34" t="s">
        <v>49</v>
      </c>
      <c r="AS24" s="27" t="s">
        <v>183</v>
      </c>
      <c r="AT24" s="34" t="s">
        <v>49</v>
      </c>
      <c r="AU24" s="73" t="s">
        <v>366</v>
      </c>
      <c r="AV24" s="68" t="s">
        <v>379</v>
      </c>
      <c r="AW24" s="80" t="s">
        <v>393</v>
      </c>
    </row>
    <row r="25" spans="1:50" x14ac:dyDescent="0.2">
      <c r="A25" s="23">
        <v>17</v>
      </c>
      <c r="B25" s="23" t="s">
        <v>52</v>
      </c>
      <c r="C25" s="24"/>
      <c r="D25" s="25"/>
      <c r="E25" s="26"/>
      <c r="F25" s="64" t="s">
        <v>74</v>
      </c>
      <c r="G25" s="57" t="s">
        <v>92</v>
      </c>
      <c r="H25" s="12" t="s">
        <v>49</v>
      </c>
      <c r="I25" s="12" t="s">
        <v>49</v>
      </c>
      <c r="J25" s="43">
        <v>2</v>
      </c>
      <c r="K25" s="27" t="s">
        <v>341</v>
      </c>
      <c r="L25" s="27"/>
      <c r="M25" s="27"/>
      <c r="N25" s="27" t="s">
        <v>49</v>
      </c>
      <c r="O25" s="27" t="s">
        <v>49</v>
      </c>
      <c r="P25" s="51">
        <v>180607.5</v>
      </c>
      <c r="Q25" s="28">
        <f t="shared" si="0"/>
        <v>361215</v>
      </c>
      <c r="R25" s="29" t="s">
        <v>50</v>
      </c>
      <c r="S25" s="28">
        <f t="shared" si="5"/>
        <v>-361215</v>
      </c>
      <c r="T25" s="27" t="s">
        <v>49</v>
      </c>
      <c r="U25" s="27" t="s">
        <v>49</v>
      </c>
      <c r="V25" s="27" t="s">
        <v>49</v>
      </c>
      <c r="W25" s="27" t="s">
        <v>49</v>
      </c>
      <c r="X25" s="27" t="s">
        <v>49</v>
      </c>
      <c r="Y25" s="31" t="s">
        <v>49</v>
      </c>
      <c r="Z25" s="31"/>
      <c r="AA25" s="31" t="s">
        <v>49</v>
      </c>
      <c r="AB25" s="31"/>
      <c r="AC25" s="31" t="s">
        <v>49</v>
      </c>
      <c r="AD25" s="32">
        <v>0</v>
      </c>
      <c r="AE25" s="33">
        <f t="shared" si="1"/>
        <v>0</v>
      </c>
      <c r="AF25" s="34">
        <v>0</v>
      </c>
      <c r="AG25" s="33">
        <f t="shared" si="2"/>
        <v>0</v>
      </c>
      <c r="AH25" s="34">
        <v>0</v>
      </c>
      <c r="AI25" s="33">
        <f t="shared" si="3"/>
        <v>0</v>
      </c>
      <c r="AJ25" s="34" t="s">
        <v>49</v>
      </c>
      <c r="AK25" s="34">
        <v>0</v>
      </c>
      <c r="AL25" s="33">
        <f t="shared" si="4"/>
        <v>0</v>
      </c>
      <c r="AM25" s="35"/>
      <c r="AN25" s="34" t="s">
        <v>49</v>
      </c>
      <c r="AO25" s="34" t="s">
        <v>49</v>
      </c>
      <c r="AP25" s="34" t="s">
        <v>49</v>
      </c>
      <c r="AQ25" s="34" t="s">
        <v>49</v>
      </c>
      <c r="AR25" s="34" t="s">
        <v>49</v>
      </c>
      <c r="AS25" s="27" t="s">
        <v>183</v>
      </c>
      <c r="AT25" s="34" t="s">
        <v>49</v>
      </c>
      <c r="AU25" s="73" t="s">
        <v>366</v>
      </c>
      <c r="AV25" s="68" t="s">
        <v>379</v>
      </c>
      <c r="AW25" s="80" t="s">
        <v>393</v>
      </c>
    </row>
    <row r="26" spans="1:50" x14ac:dyDescent="0.2">
      <c r="A26" s="23">
        <v>18</v>
      </c>
      <c r="B26" s="23" t="s">
        <v>52</v>
      </c>
      <c r="C26" s="24"/>
      <c r="D26" s="25"/>
      <c r="E26" s="26"/>
      <c r="F26" s="64" t="s">
        <v>75</v>
      </c>
      <c r="G26" s="57" t="s">
        <v>93</v>
      </c>
      <c r="H26" s="12" t="s">
        <v>49</v>
      </c>
      <c r="I26" s="12" t="s">
        <v>49</v>
      </c>
      <c r="J26" s="43">
        <v>1</v>
      </c>
      <c r="K26" s="27" t="s">
        <v>341</v>
      </c>
      <c r="L26" s="27"/>
      <c r="M26" s="27"/>
      <c r="N26" s="27" t="s">
        <v>49</v>
      </c>
      <c r="O26" s="27" t="s">
        <v>49</v>
      </c>
      <c r="P26" s="51">
        <v>245070</v>
      </c>
      <c r="Q26" s="28">
        <f t="shared" si="0"/>
        <v>245070</v>
      </c>
      <c r="R26" s="29" t="s">
        <v>50</v>
      </c>
      <c r="S26" s="28">
        <f t="shared" si="5"/>
        <v>-245070</v>
      </c>
      <c r="T26" s="27" t="s">
        <v>49</v>
      </c>
      <c r="U26" s="27" t="s">
        <v>49</v>
      </c>
      <c r="V26" s="27" t="s">
        <v>49</v>
      </c>
      <c r="W26" s="27" t="s">
        <v>49</v>
      </c>
      <c r="X26" s="27" t="s">
        <v>49</v>
      </c>
      <c r="Y26" s="31" t="s">
        <v>49</v>
      </c>
      <c r="Z26" s="31"/>
      <c r="AA26" s="31" t="s">
        <v>49</v>
      </c>
      <c r="AB26" s="31"/>
      <c r="AC26" s="31" t="s">
        <v>49</v>
      </c>
      <c r="AD26" s="32">
        <v>0</v>
      </c>
      <c r="AE26" s="33">
        <f t="shared" si="1"/>
        <v>0</v>
      </c>
      <c r="AF26" s="34">
        <v>0</v>
      </c>
      <c r="AG26" s="33">
        <f t="shared" si="2"/>
        <v>0</v>
      </c>
      <c r="AH26" s="34">
        <v>0</v>
      </c>
      <c r="AI26" s="33">
        <f t="shared" si="3"/>
        <v>0</v>
      </c>
      <c r="AJ26" s="34" t="s">
        <v>49</v>
      </c>
      <c r="AK26" s="34">
        <v>0</v>
      </c>
      <c r="AL26" s="33">
        <f t="shared" si="4"/>
        <v>0</v>
      </c>
      <c r="AM26" s="35"/>
      <c r="AN26" s="34" t="s">
        <v>49</v>
      </c>
      <c r="AO26" s="34" t="s">
        <v>49</v>
      </c>
      <c r="AP26" s="34" t="s">
        <v>49</v>
      </c>
      <c r="AQ26" s="34" t="s">
        <v>49</v>
      </c>
      <c r="AR26" s="34" t="s">
        <v>49</v>
      </c>
      <c r="AS26" s="27" t="s">
        <v>183</v>
      </c>
      <c r="AT26" s="34" t="s">
        <v>49</v>
      </c>
      <c r="AU26" s="73" t="s">
        <v>344</v>
      </c>
      <c r="AV26" s="68" t="s">
        <v>379</v>
      </c>
      <c r="AW26" s="80" t="s">
        <v>393</v>
      </c>
    </row>
    <row r="27" spans="1:50" x14ac:dyDescent="0.2">
      <c r="A27" s="23">
        <v>19</v>
      </c>
      <c r="B27" s="23" t="s">
        <v>52</v>
      </c>
      <c r="C27" s="24"/>
      <c r="D27" s="25"/>
      <c r="E27" s="26"/>
      <c r="F27" s="64" t="s">
        <v>76</v>
      </c>
      <c r="G27" s="57" t="s">
        <v>94</v>
      </c>
      <c r="H27" s="12" t="s">
        <v>49</v>
      </c>
      <c r="I27" s="12" t="s">
        <v>49</v>
      </c>
      <c r="J27" s="43">
        <v>1</v>
      </c>
      <c r="K27" s="27" t="s">
        <v>341</v>
      </c>
      <c r="L27" s="27"/>
      <c r="M27" s="27"/>
      <c r="N27" s="27" t="s">
        <v>49</v>
      </c>
      <c r="O27" s="27" t="s">
        <v>49</v>
      </c>
      <c r="P27" s="51">
        <v>59715</v>
      </c>
      <c r="Q27" s="28">
        <f t="shared" si="0"/>
        <v>59715</v>
      </c>
      <c r="R27" s="29" t="s">
        <v>50</v>
      </c>
      <c r="S27" s="28">
        <f t="shared" si="5"/>
        <v>-59715</v>
      </c>
      <c r="T27" s="27" t="s">
        <v>49</v>
      </c>
      <c r="U27" s="27" t="s">
        <v>49</v>
      </c>
      <c r="V27" s="27" t="s">
        <v>49</v>
      </c>
      <c r="W27" s="27" t="s">
        <v>49</v>
      </c>
      <c r="X27" s="27" t="s">
        <v>49</v>
      </c>
      <c r="Y27" s="31" t="s">
        <v>49</v>
      </c>
      <c r="Z27" s="31"/>
      <c r="AA27" s="31" t="s">
        <v>49</v>
      </c>
      <c r="AB27" s="31"/>
      <c r="AC27" s="31" t="s">
        <v>49</v>
      </c>
      <c r="AD27" s="32">
        <v>0</v>
      </c>
      <c r="AE27" s="33">
        <f t="shared" si="1"/>
        <v>0</v>
      </c>
      <c r="AF27" s="34">
        <v>0</v>
      </c>
      <c r="AG27" s="33">
        <f t="shared" si="2"/>
        <v>0</v>
      </c>
      <c r="AH27" s="34">
        <v>0</v>
      </c>
      <c r="AI27" s="33">
        <f t="shared" si="3"/>
        <v>0</v>
      </c>
      <c r="AJ27" s="34" t="s">
        <v>49</v>
      </c>
      <c r="AK27" s="34">
        <v>0</v>
      </c>
      <c r="AL27" s="33">
        <f t="shared" si="4"/>
        <v>0</v>
      </c>
      <c r="AM27" s="35"/>
      <c r="AN27" s="34" t="s">
        <v>49</v>
      </c>
      <c r="AO27" s="34" t="s">
        <v>49</v>
      </c>
      <c r="AP27" s="34" t="s">
        <v>49</v>
      </c>
      <c r="AQ27" s="34" t="s">
        <v>49</v>
      </c>
      <c r="AR27" s="34" t="s">
        <v>49</v>
      </c>
      <c r="AS27" s="27" t="s">
        <v>183</v>
      </c>
      <c r="AT27" s="34" t="s">
        <v>49</v>
      </c>
      <c r="AU27" s="73" t="s">
        <v>366</v>
      </c>
      <c r="AV27" s="68" t="s">
        <v>379</v>
      </c>
      <c r="AW27" s="80" t="s">
        <v>393</v>
      </c>
    </row>
    <row r="28" spans="1:50" x14ac:dyDescent="0.2">
      <c r="A28" s="23">
        <v>20</v>
      </c>
      <c r="B28" s="23" t="s">
        <v>52</v>
      </c>
      <c r="C28" s="24"/>
      <c r="D28" s="25"/>
      <c r="E28" s="26"/>
      <c r="F28" s="64" t="s">
        <v>77</v>
      </c>
      <c r="G28" s="57" t="s">
        <v>95</v>
      </c>
      <c r="H28" s="12" t="s">
        <v>49</v>
      </c>
      <c r="I28" s="12" t="s">
        <v>49</v>
      </c>
      <c r="J28" s="43">
        <v>1</v>
      </c>
      <c r="K28" s="27" t="s">
        <v>341</v>
      </c>
      <c r="L28" s="27"/>
      <c r="M28" s="27"/>
      <c r="N28" s="27" t="s">
        <v>49</v>
      </c>
      <c r="O28" s="27" t="s">
        <v>49</v>
      </c>
      <c r="P28" s="51">
        <v>1736685</v>
      </c>
      <c r="Q28" s="28">
        <f t="shared" si="0"/>
        <v>1736685</v>
      </c>
      <c r="R28" s="29" t="s">
        <v>50</v>
      </c>
      <c r="S28" s="28">
        <f t="shared" si="5"/>
        <v>-1736685</v>
      </c>
      <c r="T28" s="27" t="s">
        <v>49</v>
      </c>
      <c r="U28" s="27" t="s">
        <v>49</v>
      </c>
      <c r="V28" s="27" t="s">
        <v>49</v>
      </c>
      <c r="W28" s="27" t="s">
        <v>49</v>
      </c>
      <c r="X28" s="27" t="s">
        <v>49</v>
      </c>
      <c r="Y28" s="31" t="s">
        <v>49</v>
      </c>
      <c r="Z28" s="31"/>
      <c r="AA28" s="31" t="s">
        <v>49</v>
      </c>
      <c r="AB28" s="31"/>
      <c r="AC28" s="31" t="s">
        <v>49</v>
      </c>
      <c r="AD28" s="32">
        <v>0</v>
      </c>
      <c r="AE28" s="33">
        <f t="shared" si="1"/>
        <v>0</v>
      </c>
      <c r="AF28" s="34">
        <v>0</v>
      </c>
      <c r="AG28" s="33">
        <f t="shared" si="2"/>
        <v>0</v>
      </c>
      <c r="AH28" s="34">
        <v>0</v>
      </c>
      <c r="AI28" s="33">
        <f t="shared" si="3"/>
        <v>0</v>
      </c>
      <c r="AJ28" s="34" t="s">
        <v>49</v>
      </c>
      <c r="AK28" s="34">
        <v>0</v>
      </c>
      <c r="AL28" s="33">
        <f t="shared" si="4"/>
        <v>0</v>
      </c>
      <c r="AM28" s="35"/>
      <c r="AN28" s="34" t="s">
        <v>49</v>
      </c>
      <c r="AO28" s="34" t="s">
        <v>49</v>
      </c>
      <c r="AP28" s="34" t="s">
        <v>49</v>
      </c>
      <c r="AQ28" s="34" t="s">
        <v>49</v>
      </c>
      <c r="AR28" s="34" t="s">
        <v>49</v>
      </c>
      <c r="AS28" s="27" t="s">
        <v>183</v>
      </c>
      <c r="AT28" s="34" t="s">
        <v>49</v>
      </c>
      <c r="AU28" s="73" t="s">
        <v>368</v>
      </c>
      <c r="AV28" s="68" t="s">
        <v>379</v>
      </c>
      <c r="AW28" s="80" t="s">
        <v>393</v>
      </c>
    </row>
    <row r="29" spans="1:50" ht="75" x14ac:dyDescent="0.2">
      <c r="A29" s="23">
        <v>21</v>
      </c>
      <c r="B29" s="23" t="s">
        <v>52</v>
      </c>
      <c r="C29" s="24"/>
      <c r="D29" s="25"/>
      <c r="E29" s="26"/>
      <c r="F29" s="64" t="s">
        <v>78</v>
      </c>
      <c r="G29" s="57" t="s">
        <v>96</v>
      </c>
      <c r="H29" s="12" t="s">
        <v>49</v>
      </c>
      <c r="I29" s="12" t="s">
        <v>49</v>
      </c>
      <c r="J29" s="43">
        <v>2</v>
      </c>
      <c r="K29" s="27" t="s">
        <v>341</v>
      </c>
      <c r="L29" s="27"/>
      <c r="M29" s="27"/>
      <c r="N29" s="27" t="s">
        <v>49</v>
      </c>
      <c r="O29" s="27" t="s">
        <v>49</v>
      </c>
      <c r="P29" s="51">
        <v>1755000</v>
      </c>
      <c r="Q29" s="28">
        <f t="shared" si="0"/>
        <v>3510000</v>
      </c>
      <c r="R29" s="29" t="s">
        <v>50</v>
      </c>
      <c r="S29" s="28">
        <f t="shared" si="5"/>
        <v>-3510000</v>
      </c>
      <c r="T29" s="27" t="s">
        <v>49</v>
      </c>
      <c r="U29" s="27" t="s">
        <v>49</v>
      </c>
      <c r="V29" s="27" t="s">
        <v>49</v>
      </c>
      <c r="W29" s="27" t="s">
        <v>49</v>
      </c>
      <c r="X29" s="27" t="s">
        <v>49</v>
      </c>
      <c r="Y29" s="31" t="s">
        <v>49</v>
      </c>
      <c r="Z29" s="31"/>
      <c r="AA29" s="31" t="s">
        <v>49</v>
      </c>
      <c r="AB29" s="31"/>
      <c r="AC29" s="31" t="s">
        <v>49</v>
      </c>
      <c r="AD29" s="32">
        <v>0</v>
      </c>
      <c r="AE29" s="33">
        <f t="shared" si="1"/>
        <v>0</v>
      </c>
      <c r="AF29" s="34">
        <v>0</v>
      </c>
      <c r="AG29" s="33">
        <f t="shared" si="2"/>
        <v>0</v>
      </c>
      <c r="AH29" s="34">
        <v>0</v>
      </c>
      <c r="AI29" s="33">
        <f t="shared" si="3"/>
        <v>0</v>
      </c>
      <c r="AJ29" s="34" t="s">
        <v>49</v>
      </c>
      <c r="AK29" s="34">
        <v>0</v>
      </c>
      <c r="AL29" s="33">
        <f t="shared" si="4"/>
        <v>0</v>
      </c>
      <c r="AM29" s="35"/>
      <c r="AN29" s="34" t="s">
        <v>49</v>
      </c>
      <c r="AO29" s="34" t="s">
        <v>49</v>
      </c>
      <c r="AP29" s="34" t="s">
        <v>49</v>
      </c>
      <c r="AQ29" s="34" t="s">
        <v>49</v>
      </c>
      <c r="AR29" s="34" t="s">
        <v>49</v>
      </c>
      <c r="AS29" s="27" t="s">
        <v>183</v>
      </c>
      <c r="AT29" s="34" t="s">
        <v>49</v>
      </c>
      <c r="AU29" s="73" t="s">
        <v>358</v>
      </c>
      <c r="AV29" s="68" t="s">
        <v>384</v>
      </c>
      <c r="AW29" s="80" t="s">
        <v>394</v>
      </c>
      <c r="AX29" s="80" t="s">
        <v>397</v>
      </c>
    </row>
    <row r="30" spans="1:50" ht="75" x14ac:dyDescent="0.2">
      <c r="A30" s="23">
        <v>22</v>
      </c>
      <c r="B30" s="23" t="s">
        <v>52</v>
      </c>
      <c r="C30" s="24"/>
      <c r="D30" s="25"/>
      <c r="E30" s="26"/>
      <c r="F30" s="64" t="s">
        <v>78</v>
      </c>
      <c r="G30" s="57" t="s">
        <v>96</v>
      </c>
      <c r="H30" s="12" t="s">
        <v>49</v>
      </c>
      <c r="I30" s="12" t="s">
        <v>49</v>
      </c>
      <c r="J30" s="43">
        <v>2</v>
      </c>
      <c r="K30" s="27" t="s">
        <v>341</v>
      </c>
      <c r="L30" s="27"/>
      <c r="M30" s="27"/>
      <c r="N30" s="27" t="s">
        <v>49</v>
      </c>
      <c r="O30" s="27" t="s">
        <v>49</v>
      </c>
      <c r="P30" s="51">
        <v>1755000</v>
      </c>
      <c r="Q30" s="28">
        <f t="shared" si="0"/>
        <v>3510000</v>
      </c>
      <c r="R30" s="29" t="s">
        <v>50</v>
      </c>
      <c r="S30" s="28">
        <f t="shared" si="5"/>
        <v>-3510000</v>
      </c>
      <c r="T30" s="27" t="s">
        <v>49</v>
      </c>
      <c r="U30" s="27" t="s">
        <v>49</v>
      </c>
      <c r="V30" s="27" t="s">
        <v>49</v>
      </c>
      <c r="W30" s="27" t="s">
        <v>49</v>
      </c>
      <c r="X30" s="27" t="s">
        <v>49</v>
      </c>
      <c r="Y30" s="31" t="s">
        <v>49</v>
      </c>
      <c r="Z30" s="31"/>
      <c r="AA30" s="31" t="s">
        <v>49</v>
      </c>
      <c r="AB30" s="31"/>
      <c r="AC30" s="31" t="s">
        <v>49</v>
      </c>
      <c r="AD30" s="32">
        <v>0</v>
      </c>
      <c r="AE30" s="33">
        <f t="shared" si="1"/>
        <v>0</v>
      </c>
      <c r="AF30" s="34">
        <v>0</v>
      </c>
      <c r="AG30" s="33">
        <f t="shared" si="2"/>
        <v>0</v>
      </c>
      <c r="AH30" s="34">
        <v>0</v>
      </c>
      <c r="AI30" s="33">
        <f t="shared" si="3"/>
        <v>0</v>
      </c>
      <c r="AJ30" s="34" t="s">
        <v>49</v>
      </c>
      <c r="AK30" s="34">
        <v>0</v>
      </c>
      <c r="AL30" s="33">
        <f t="shared" si="4"/>
        <v>0</v>
      </c>
      <c r="AM30" s="35"/>
      <c r="AN30" s="34" t="s">
        <v>49</v>
      </c>
      <c r="AO30" s="34" t="s">
        <v>49</v>
      </c>
      <c r="AP30" s="34" t="s">
        <v>49</v>
      </c>
      <c r="AQ30" s="34" t="s">
        <v>49</v>
      </c>
      <c r="AR30" s="34" t="s">
        <v>49</v>
      </c>
      <c r="AS30" s="27" t="s">
        <v>183</v>
      </c>
      <c r="AT30" s="34" t="s">
        <v>49</v>
      </c>
      <c r="AU30" s="73" t="s">
        <v>358</v>
      </c>
      <c r="AV30" s="68" t="s">
        <v>384</v>
      </c>
      <c r="AW30" s="80" t="s">
        <v>394</v>
      </c>
      <c r="AX30" s="80" t="s">
        <v>397</v>
      </c>
    </row>
    <row r="31" spans="1:50" ht="93.75" x14ac:dyDescent="0.2">
      <c r="A31" s="23">
        <v>23</v>
      </c>
      <c r="B31" s="23" t="s">
        <v>52</v>
      </c>
      <c r="C31" s="24"/>
      <c r="D31" s="25"/>
      <c r="E31" s="26"/>
      <c r="F31" s="64" t="s">
        <v>79</v>
      </c>
      <c r="G31" s="57" t="s">
        <v>97</v>
      </c>
      <c r="H31" s="12" t="s">
        <v>49</v>
      </c>
      <c r="I31" s="12" t="s">
        <v>49</v>
      </c>
      <c r="J31" s="43">
        <v>1</v>
      </c>
      <c r="K31" s="27" t="s">
        <v>341</v>
      </c>
      <c r="L31" s="27"/>
      <c r="M31" s="27"/>
      <c r="N31" s="27" t="s">
        <v>49</v>
      </c>
      <c r="O31" s="27" t="s">
        <v>49</v>
      </c>
      <c r="P31" s="51">
        <v>1350000</v>
      </c>
      <c r="Q31" s="28">
        <f t="shared" si="0"/>
        <v>1350000</v>
      </c>
      <c r="R31" s="29" t="s">
        <v>50</v>
      </c>
      <c r="S31" s="28">
        <f t="shared" si="5"/>
        <v>-1350000</v>
      </c>
      <c r="T31" s="27" t="s">
        <v>49</v>
      </c>
      <c r="U31" s="27" t="s">
        <v>49</v>
      </c>
      <c r="V31" s="27" t="s">
        <v>49</v>
      </c>
      <c r="W31" s="27" t="s">
        <v>49</v>
      </c>
      <c r="X31" s="27" t="s">
        <v>49</v>
      </c>
      <c r="Y31" s="31" t="s">
        <v>49</v>
      </c>
      <c r="Z31" s="31"/>
      <c r="AA31" s="31" t="s">
        <v>49</v>
      </c>
      <c r="AB31" s="31"/>
      <c r="AC31" s="31" t="s">
        <v>49</v>
      </c>
      <c r="AD31" s="32">
        <v>0</v>
      </c>
      <c r="AE31" s="33">
        <f t="shared" si="1"/>
        <v>0</v>
      </c>
      <c r="AF31" s="34">
        <v>0</v>
      </c>
      <c r="AG31" s="33">
        <f t="shared" si="2"/>
        <v>0</v>
      </c>
      <c r="AH31" s="34">
        <v>0</v>
      </c>
      <c r="AI31" s="33">
        <f t="shared" si="3"/>
        <v>0</v>
      </c>
      <c r="AJ31" s="34" t="s">
        <v>49</v>
      </c>
      <c r="AK31" s="34">
        <v>0</v>
      </c>
      <c r="AL31" s="33">
        <f t="shared" si="4"/>
        <v>0</v>
      </c>
      <c r="AM31" s="35"/>
      <c r="AN31" s="34" t="s">
        <v>49</v>
      </c>
      <c r="AO31" s="34" t="s">
        <v>49</v>
      </c>
      <c r="AP31" s="34" t="s">
        <v>49</v>
      </c>
      <c r="AQ31" s="34" t="s">
        <v>49</v>
      </c>
      <c r="AR31" s="34" t="s">
        <v>49</v>
      </c>
      <c r="AS31" s="27" t="s">
        <v>183</v>
      </c>
      <c r="AT31" s="34" t="s">
        <v>49</v>
      </c>
      <c r="AU31" s="73" t="s">
        <v>358</v>
      </c>
      <c r="AV31" s="68" t="s">
        <v>384</v>
      </c>
      <c r="AW31" s="80" t="s">
        <v>394</v>
      </c>
      <c r="AX31" s="80" t="s">
        <v>397</v>
      </c>
    </row>
    <row r="32" spans="1:50" ht="75" x14ac:dyDescent="0.2">
      <c r="A32" s="23">
        <v>24</v>
      </c>
      <c r="B32" s="23" t="s">
        <v>52</v>
      </c>
      <c r="C32" s="24"/>
      <c r="D32" s="25"/>
      <c r="E32" s="26"/>
      <c r="F32" s="64" t="s">
        <v>80</v>
      </c>
      <c r="G32" s="57" t="s">
        <v>97</v>
      </c>
      <c r="H32" s="12" t="s">
        <v>49</v>
      </c>
      <c r="I32" s="12" t="s">
        <v>49</v>
      </c>
      <c r="J32" s="43">
        <v>1</v>
      </c>
      <c r="K32" s="27" t="s">
        <v>341</v>
      </c>
      <c r="L32" s="27"/>
      <c r="M32" s="27"/>
      <c r="N32" s="27" t="s">
        <v>49</v>
      </c>
      <c r="O32" s="27" t="s">
        <v>49</v>
      </c>
      <c r="P32" s="51">
        <v>1350000</v>
      </c>
      <c r="Q32" s="28">
        <f t="shared" si="0"/>
        <v>1350000</v>
      </c>
      <c r="R32" s="29" t="s">
        <v>50</v>
      </c>
      <c r="S32" s="28">
        <f t="shared" si="5"/>
        <v>-1350000</v>
      </c>
      <c r="T32" s="27" t="s">
        <v>49</v>
      </c>
      <c r="U32" s="27" t="s">
        <v>49</v>
      </c>
      <c r="V32" s="27" t="s">
        <v>49</v>
      </c>
      <c r="W32" s="27" t="s">
        <v>49</v>
      </c>
      <c r="X32" s="27" t="s">
        <v>49</v>
      </c>
      <c r="Y32" s="31" t="s">
        <v>49</v>
      </c>
      <c r="Z32" s="31"/>
      <c r="AA32" s="31" t="s">
        <v>49</v>
      </c>
      <c r="AB32" s="31"/>
      <c r="AC32" s="31" t="s">
        <v>49</v>
      </c>
      <c r="AD32" s="32">
        <v>0</v>
      </c>
      <c r="AE32" s="33">
        <f t="shared" si="1"/>
        <v>0</v>
      </c>
      <c r="AF32" s="34">
        <v>0</v>
      </c>
      <c r="AG32" s="33">
        <f t="shared" si="2"/>
        <v>0</v>
      </c>
      <c r="AH32" s="34">
        <v>0</v>
      </c>
      <c r="AI32" s="33">
        <f t="shared" si="3"/>
        <v>0</v>
      </c>
      <c r="AJ32" s="34" t="s">
        <v>49</v>
      </c>
      <c r="AK32" s="34">
        <v>0</v>
      </c>
      <c r="AL32" s="33">
        <f t="shared" si="4"/>
        <v>0</v>
      </c>
      <c r="AM32" s="35"/>
      <c r="AN32" s="34" t="s">
        <v>49</v>
      </c>
      <c r="AO32" s="34" t="s">
        <v>49</v>
      </c>
      <c r="AP32" s="34" t="s">
        <v>49</v>
      </c>
      <c r="AQ32" s="34" t="s">
        <v>49</v>
      </c>
      <c r="AR32" s="34" t="s">
        <v>49</v>
      </c>
      <c r="AS32" s="27" t="s">
        <v>183</v>
      </c>
      <c r="AT32" s="34" t="s">
        <v>49</v>
      </c>
      <c r="AU32" s="73" t="s">
        <v>358</v>
      </c>
      <c r="AV32" s="68" t="s">
        <v>384</v>
      </c>
      <c r="AW32" s="80" t="s">
        <v>394</v>
      </c>
      <c r="AX32" s="80" t="s">
        <v>397</v>
      </c>
    </row>
    <row r="33" spans="1:53" ht="75" x14ac:dyDescent="0.2">
      <c r="A33" s="23">
        <v>25</v>
      </c>
      <c r="B33" s="23" t="s">
        <v>52</v>
      </c>
      <c r="C33" s="24"/>
      <c r="D33" s="25"/>
      <c r="E33" s="26"/>
      <c r="F33" s="64" t="s">
        <v>81</v>
      </c>
      <c r="G33" s="57" t="s">
        <v>97</v>
      </c>
      <c r="H33" s="12" t="s">
        <v>49</v>
      </c>
      <c r="I33" s="12" t="s">
        <v>49</v>
      </c>
      <c r="J33" s="43">
        <v>1</v>
      </c>
      <c r="K33" s="27" t="s">
        <v>341</v>
      </c>
      <c r="L33" s="27"/>
      <c r="M33" s="27"/>
      <c r="N33" s="27" t="s">
        <v>49</v>
      </c>
      <c r="O33" s="27" t="s">
        <v>49</v>
      </c>
      <c r="P33" s="51">
        <v>990000</v>
      </c>
      <c r="Q33" s="28">
        <f t="shared" si="0"/>
        <v>990000</v>
      </c>
      <c r="R33" s="29" t="s">
        <v>50</v>
      </c>
      <c r="S33" s="28">
        <f t="shared" si="5"/>
        <v>-990000</v>
      </c>
      <c r="T33" s="27" t="s">
        <v>49</v>
      </c>
      <c r="U33" s="27" t="s">
        <v>49</v>
      </c>
      <c r="V33" s="27" t="s">
        <v>49</v>
      </c>
      <c r="W33" s="27" t="s">
        <v>49</v>
      </c>
      <c r="X33" s="27" t="s">
        <v>49</v>
      </c>
      <c r="Y33" s="31" t="s">
        <v>49</v>
      </c>
      <c r="Z33" s="31"/>
      <c r="AA33" s="31" t="s">
        <v>49</v>
      </c>
      <c r="AB33" s="31"/>
      <c r="AC33" s="31" t="s">
        <v>49</v>
      </c>
      <c r="AD33" s="32">
        <v>0</v>
      </c>
      <c r="AE33" s="33">
        <f t="shared" si="1"/>
        <v>0</v>
      </c>
      <c r="AF33" s="34">
        <v>0</v>
      </c>
      <c r="AG33" s="33">
        <f t="shared" si="2"/>
        <v>0</v>
      </c>
      <c r="AH33" s="34">
        <v>0</v>
      </c>
      <c r="AI33" s="33">
        <f t="shared" si="3"/>
        <v>0</v>
      </c>
      <c r="AJ33" s="34" t="s">
        <v>49</v>
      </c>
      <c r="AK33" s="34">
        <v>0</v>
      </c>
      <c r="AL33" s="33">
        <f t="shared" si="4"/>
        <v>0</v>
      </c>
      <c r="AM33" s="35"/>
      <c r="AN33" s="34" t="s">
        <v>49</v>
      </c>
      <c r="AO33" s="34" t="s">
        <v>49</v>
      </c>
      <c r="AP33" s="34" t="s">
        <v>49</v>
      </c>
      <c r="AQ33" s="34" t="s">
        <v>49</v>
      </c>
      <c r="AR33" s="34" t="s">
        <v>49</v>
      </c>
      <c r="AS33" s="27" t="s">
        <v>183</v>
      </c>
      <c r="AT33" s="34" t="s">
        <v>49</v>
      </c>
      <c r="AU33" s="73" t="s">
        <v>358</v>
      </c>
      <c r="AV33" s="68" t="s">
        <v>384</v>
      </c>
      <c r="AW33" s="80" t="s">
        <v>394</v>
      </c>
      <c r="AX33" s="80" t="s">
        <v>397</v>
      </c>
    </row>
    <row r="34" spans="1:53" ht="75" x14ac:dyDescent="0.2">
      <c r="A34" s="23">
        <v>26</v>
      </c>
      <c r="B34" s="23" t="s">
        <v>52</v>
      </c>
      <c r="C34" s="24"/>
      <c r="D34" s="25"/>
      <c r="E34" s="26"/>
      <c r="F34" s="64" t="s">
        <v>82</v>
      </c>
      <c r="G34" s="57" t="s">
        <v>98</v>
      </c>
      <c r="H34" s="12" t="s">
        <v>49</v>
      </c>
      <c r="I34" s="12" t="s">
        <v>49</v>
      </c>
      <c r="J34" s="43">
        <v>1</v>
      </c>
      <c r="K34" s="27" t="s">
        <v>341</v>
      </c>
      <c r="L34" s="27"/>
      <c r="M34" s="27"/>
      <c r="N34" s="27" t="s">
        <v>49</v>
      </c>
      <c r="O34" s="27" t="s">
        <v>49</v>
      </c>
      <c r="P34" s="51">
        <v>900000</v>
      </c>
      <c r="Q34" s="28">
        <f t="shared" si="0"/>
        <v>900000</v>
      </c>
      <c r="R34" s="29" t="s">
        <v>50</v>
      </c>
      <c r="S34" s="28">
        <f t="shared" si="5"/>
        <v>-900000</v>
      </c>
      <c r="T34" s="27" t="s">
        <v>49</v>
      </c>
      <c r="U34" s="27" t="s">
        <v>49</v>
      </c>
      <c r="V34" s="27" t="s">
        <v>49</v>
      </c>
      <c r="W34" s="27" t="s">
        <v>49</v>
      </c>
      <c r="X34" s="27" t="s">
        <v>49</v>
      </c>
      <c r="Y34" s="31" t="s">
        <v>49</v>
      </c>
      <c r="Z34" s="31"/>
      <c r="AA34" s="31" t="s">
        <v>49</v>
      </c>
      <c r="AB34" s="31"/>
      <c r="AC34" s="31" t="s">
        <v>49</v>
      </c>
      <c r="AD34" s="32">
        <v>0</v>
      </c>
      <c r="AE34" s="33">
        <f t="shared" si="1"/>
        <v>0</v>
      </c>
      <c r="AF34" s="34">
        <v>0</v>
      </c>
      <c r="AG34" s="33">
        <f t="shared" si="2"/>
        <v>0</v>
      </c>
      <c r="AH34" s="34">
        <v>0</v>
      </c>
      <c r="AI34" s="33">
        <f t="shared" si="3"/>
        <v>0</v>
      </c>
      <c r="AJ34" s="34" t="s">
        <v>49</v>
      </c>
      <c r="AK34" s="34">
        <v>0</v>
      </c>
      <c r="AL34" s="33">
        <f t="shared" si="4"/>
        <v>0</v>
      </c>
      <c r="AM34" s="35"/>
      <c r="AN34" s="34" t="s">
        <v>49</v>
      </c>
      <c r="AO34" s="34" t="s">
        <v>49</v>
      </c>
      <c r="AP34" s="34" t="s">
        <v>49</v>
      </c>
      <c r="AQ34" s="34" t="s">
        <v>49</v>
      </c>
      <c r="AR34" s="34" t="s">
        <v>49</v>
      </c>
      <c r="AS34" s="27" t="s">
        <v>183</v>
      </c>
      <c r="AT34" s="34" t="s">
        <v>49</v>
      </c>
      <c r="AU34" s="73" t="s">
        <v>358</v>
      </c>
      <c r="AV34" s="84" t="s">
        <v>387</v>
      </c>
      <c r="AW34" s="80" t="s">
        <v>394</v>
      </c>
      <c r="AX34" s="80" t="s">
        <v>398</v>
      </c>
      <c r="AY34" s="1" t="s">
        <v>403</v>
      </c>
      <c r="AZ34" s="1">
        <v>250000</v>
      </c>
      <c r="BA34" s="1">
        <f>AZ34*J34</f>
        <v>250000</v>
      </c>
    </row>
    <row r="35" spans="1:53" x14ac:dyDescent="0.2">
      <c r="A35" s="23">
        <v>27</v>
      </c>
      <c r="B35" s="23" t="s">
        <v>52</v>
      </c>
      <c r="C35" s="24"/>
      <c r="D35" s="25"/>
      <c r="E35" s="26"/>
      <c r="F35" s="64" t="s">
        <v>83</v>
      </c>
      <c r="G35" s="57" t="s">
        <v>99</v>
      </c>
      <c r="H35" s="12" t="s">
        <v>49</v>
      </c>
      <c r="I35" s="12" t="s">
        <v>49</v>
      </c>
      <c r="J35" s="43">
        <v>1</v>
      </c>
      <c r="K35" s="27" t="s">
        <v>341</v>
      </c>
      <c r="L35" s="27"/>
      <c r="M35" s="27"/>
      <c r="N35" s="27" t="s">
        <v>49</v>
      </c>
      <c r="O35" s="27" t="s">
        <v>49</v>
      </c>
      <c r="P35" s="51">
        <v>1560690</v>
      </c>
      <c r="Q35" s="28">
        <f t="shared" si="0"/>
        <v>1560690</v>
      </c>
      <c r="R35" s="29" t="s">
        <v>50</v>
      </c>
      <c r="S35" s="28">
        <f t="shared" si="5"/>
        <v>-1560690</v>
      </c>
      <c r="T35" s="27" t="s">
        <v>49</v>
      </c>
      <c r="U35" s="27" t="s">
        <v>49</v>
      </c>
      <c r="V35" s="27" t="s">
        <v>49</v>
      </c>
      <c r="W35" s="27" t="s">
        <v>49</v>
      </c>
      <c r="X35" s="27" t="s">
        <v>49</v>
      </c>
      <c r="Y35" s="31" t="s">
        <v>49</v>
      </c>
      <c r="Z35" s="31"/>
      <c r="AA35" s="31" t="s">
        <v>49</v>
      </c>
      <c r="AB35" s="31"/>
      <c r="AC35" s="31" t="s">
        <v>49</v>
      </c>
      <c r="AD35" s="32">
        <v>0</v>
      </c>
      <c r="AE35" s="33">
        <f t="shared" si="1"/>
        <v>0</v>
      </c>
      <c r="AF35" s="34">
        <v>0</v>
      </c>
      <c r="AG35" s="33">
        <f t="shared" si="2"/>
        <v>0</v>
      </c>
      <c r="AH35" s="34">
        <v>0</v>
      </c>
      <c r="AI35" s="33">
        <f t="shared" si="3"/>
        <v>0</v>
      </c>
      <c r="AJ35" s="34" t="s">
        <v>49</v>
      </c>
      <c r="AK35" s="34">
        <v>0</v>
      </c>
      <c r="AL35" s="33">
        <f t="shared" si="4"/>
        <v>0</v>
      </c>
      <c r="AM35" s="35"/>
      <c r="AN35" s="34" t="s">
        <v>49</v>
      </c>
      <c r="AO35" s="34" t="s">
        <v>49</v>
      </c>
      <c r="AP35" s="34" t="s">
        <v>49</v>
      </c>
      <c r="AQ35" s="34" t="s">
        <v>49</v>
      </c>
      <c r="AR35" s="34" t="s">
        <v>49</v>
      </c>
      <c r="AS35" s="27" t="s">
        <v>183</v>
      </c>
      <c r="AT35" s="34" t="s">
        <v>49</v>
      </c>
      <c r="AU35" s="73" t="s">
        <v>366</v>
      </c>
      <c r="AV35" s="68" t="s">
        <v>379</v>
      </c>
      <c r="AW35" s="80" t="s">
        <v>393</v>
      </c>
    </row>
    <row r="36" spans="1:53" x14ac:dyDescent="0.2">
      <c r="A36" s="23">
        <v>28</v>
      </c>
      <c r="B36" s="23" t="s">
        <v>52</v>
      </c>
      <c r="C36" s="24"/>
      <c r="D36" s="25"/>
      <c r="E36" s="26"/>
      <c r="F36" s="64" t="s">
        <v>84</v>
      </c>
      <c r="G36" s="57" t="s">
        <v>99</v>
      </c>
      <c r="H36" s="12" t="s">
        <v>49</v>
      </c>
      <c r="I36" s="12" t="s">
        <v>49</v>
      </c>
      <c r="J36" s="43">
        <v>1</v>
      </c>
      <c r="K36" s="27" t="s">
        <v>341</v>
      </c>
      <c r="L36" s="27"/>
      <c r="M36" s="27"/>
      <c r="N36" s="27" t="s">
        <v>49</v>
      </c>
      <c r="O36" s="27" t="s">
        <v>49</v>
      </c>
      <c r="P36" s="51">
        <v>1560690</v>
      </c>
      <c r="Q36" s="28">
        <f t="shared" si="0"/>
        <v>1560690</v>
      </c>
      <c r="R36" s="29" t="s">
        <v>50</v>
      </c>
      <c r="S36" s="28">
        <f t="shared" si="5"/>
        <v>-1560690</v>
      </c>
      <c r="T36" s="27" t="s">
        <v>49</v>
      </c>
      <c r="U36" s="27" t="s">
        <v>49</v>
      </c>
      <c r="V36" s="27" t="s">
        <v>49</v>
      </c>
      <c r="W36" s="27" t="s">
        <v>49</v>
      </c>
      <c r="X36" s="27" t="s">
        <v>49</v>
      </c>
      <c r="Y36" s="31" t="s">
        <v>49</v>
      </c>
      <c r="Z36" s="31"/>
      <c r="AA36" s="31" t="s">
        <v>49</v>
      </c>
      <c r="AB36" s="31"/>
      <c r="AC36" s="31" t="s">
        <v>49</v>
      </c>
      <c r="AD36" s="32">
        <v>0</v>
      </c>
      <c r="AE36" s="33">
        <f t="shared" si="1"/>
        <v>0</v>
      </c>
      <c r="AF36" s="34">
        <v>0</v>
      </c>
      <c r="AG36" s="33">
        <f t="shared" si="2"/>
        <v>0</v>
      </c>
      <c r="AH36" s="34">
        <v>0</v>
      </c>
      <c r="AI36" s="33">
        <f t="shared" si="3"/>
        <v>0</v>
      </c>
      <c r="AJ36" s="34" t="s">
        <v>49</v>
      </c>
      <c r="AK36" s="34">
        <v>0</v>
      </c>
      <c r="AL36" s="33">
        <f t="shared" si="4"/>
        <v>0</v>
      </c>
      <c r="AM36" s="35"/>
      <c r="AN36" s="34" t="s">
        <v>49</v>
      </c>
      <c r="AO36" s="34" t="s">
        <v>49</v>
      </c>
      <c r="AP36" s="34" t="s">
        <v>49</v>
      </c>
      <c r="AQ36" s="34" t="s">
        <v>49</v>
      </c>
      <c r="AR36" s="34" t="s">
        <v>49</v>
      </c>
      <c r="AS36" s="27" t="s">
        <v>183</v>
      </c>
      <c r="AT36" s="34" t="s">
        <v>49</v>
      </c>
      <c r="AU36" s="73" t="s">
        <v>366</v>
      </c>
      <c r="AV36" s="68" t="s">
        <v>379</v>
      </c>
      <c r="AW36" s="80" t="s">
        <v>393</v>
      </c>
    </row>
    <row r="37" spans="1:53" ht="56.25" x14ac:dyDescent="0.2">
      <c r="A37" s="23">
        <v>29</v>
      </c>
      <c r="B37" s="23" t="s">
        <v>52</v>
      </c>
      <c r="C37" s="24"/>
      <c r="D37" s="25"/>
      <c r="E37" s="26"/>
      <c r="F37" s="64" t="s">
        <v>85</v>
      </c>
      <c r="G37" s="57" t="s">
        <v>100</v>
      </c>
      <c r="H37" s="12" t="s">
        <v>49</v>
      </c>
      <c r="I37" s="12" t="s">
        <v>49</v>
      </c>
      <c r="J37" s="43">
        <v>1</v>
      </c>
      <c r="K37" s="27" t="s">
        <v>341</v>
      </c>
      <c r="L37" s="27"/>
      <c r="M37" s="27"/>
      <c r="N37" s="27" t="s">
        <v>49</v>
      </c>
      <c r="O37" s="27" t="s">
        <v>49</v>
      </c>
      <c r="P37" s="51">
        <v>450000</v>
      </c>
      <c r="Q37" s="28">
        <f t="shared" si="0"/>
        <v>450000</v>
      </c>
      <c r="R37" s="29" t="s">
        <v>50</v>
      </c>
      <c r="S37" s="28">
        <f t="shared" si="5"/>
        <v>-450000</v>
      </c>
      <c r="T37" s="27" t="s">
        <v>49</v>
      </c>
      <c r="U37" s="27" t="s">
        <v>49</v>
      </c>
      <c r="V37" s="27" t="s">
        <v>49</v>
      </c>
      <c r="W37" s="27" t="s">
        <v>49</v>
      </c>
      <c r="X37" s="27" t="s">
        <v>49</v>
      </c>
      <c r="Y37" s="31" t="s">
        <v>49</v>
      </c>
      <c r="Z37" s="31"/>
      <c r="AA37" s="31" t="s">
        <v>49</v>
      </c>
      <c r="AB37" s="31"/>
      <c r="AC37" s="31" t="s">
        <v>49</v>
      </c>
      <c r="AD37" s="32">
        <v>0</v>
      </c>
      <c r="AE37" s="33">
        <f t="shared" si="1"/>
        <v>0</v>
      </c>
      <c r="AF37" s="34">
        <v>0</v>
      </c>
      <c r="AG37" s="33">
        <f t="shared" si="2"/>
        <v>0</v>
      </c>
      <c r="AH37" s="34">
        <v>0</v>
      </c>
      <c r="AI37" s="33">
        <f t="shared" si="3"/>
        <v>0</v>
      </c>
      <c r="AJ37" s="34" t="s">
        <v>49</v>
      </c>
      <c r="AK37" s="34">
        <v>0</v>
      </c>
      <c r="AL37" s="33">
        <f t="shared" si="4"/>
        <v>0</v>
      </c>
      <c r="AM37" s="35"/>
      <c r="AN37" s="34" t="s">
        <v>49</v>
      </c>
      <c r="AO37" s="34" t="s">
        <v>49</v>
      </c>
      <c r="AP37" s="34" t="s">
        <v>49</v>
      </c>
      <c r="AQ37" s="34" t="s">
        <v>49</v>
      </c>
      <c r="AR37" s="34" t="s">
        <v>49</v>
      </c>
      <c r="AS37" s="27" t="s">
        <v>183</v>
      </c>
      <c r="AT37" s="34" t="s">
        <v>49</v>
      </c>
      <c r="AU37" s="73" t="s">
        <v>358</v>
      </c>
      <c r="AV37" s="84" t="s">
        <v>389</v>
      </c>
      <c r="AW37" s="1" t="s">
        <v>400</v>
      </c>
      <c r="AX37" s="79" t="s">
        <v>389</v>
      </c>
      <c r="AZ37" s="1">
        <v>29400</v>
      </c>
      <c r="BA37" s="1">
        <f>AZ37*J37</f>
        <v>29400</v>
      </c>
    </row>
    <row r="38" spans="1:53" ht="56.25" x14ac:dyDescent="0.2">
      <c r="A38" s="23">
        <v>30</v>
      </c>
      <c r="B38" s="23" t="s">
        <v>52</v>
      </c>
      <c r="C38" s="24"/>
      <c r="D38" s="37"/>
      <c r="E38" s="26"/>
      <c r="F38" s="64" t="s">
        <v>86</v>
      </c>
      <c r="G38" s="57"/>
      <c r="H38" s="12" t="s">
        <v>49</v>
      </c>
      <c r="I38" s="12" t="s">
        <v>49</v>
      </c>
      <c r="J38" s="43">
        <v>1</v>
      </c>
      <c r="K38" s="27" t="s">
        <v>341</v>
      </c>
      <c r="L38" s="27"/>
      <c r="M38" s="27"/>
      <c r="N38" s="27" t="s">
        <v>49</v>
      </c>
      <c r="O38" s="27" t="s">
        <v>49</v>
      </c>
      <c r="P38" s="51">
        <v>22108.5</v>
      </c>
      <c r="Q38" s="28">
        <f t="shared" si="0"/>
        <v>22108.5</v>
      </c>
      <c r="R38" s="29" t="s">
        <v>50</v>
      </c>
      <c r="S38" s="28">
        <f t="shared" si="5"/>
        <v>-22108.5</v>
      </c>
      <c r="T38" s="27" t="s">
        <v>49</v>
      </c>
      <c r="U38" s="27" t="s">
        <v>49</v>
      </c>
      <c r="V38" s="27" t="s">
        <v>49</v>
      </c>
      <c r="W38" s="27" t="s">
        <v>49</v>
      </c>
      <c r="X38" s="27" t="s">
        <v>49</v>
      </c>
      <c r="Y38" s="31" t="s">
        <v>49</v>
      </c>
      <c r="Z38" s="31"/>
      <c r="AA38" s="31" t="s">
        <v>49</v>
      </c>
      <c r="AB38" s="31"/>
      <c r="AC38" s="31" t="s">
        <v>49</v>
      </c>
      <c r="AD38" s="32">
        <v>0</v>
      </c>
      <c r="AE38" s="33">
        <f t="shared" si="1"/>
        <v>0</v>
      </c>
      <c r="AF38" s="34">
        <v>0</v>
      </c>
      <c r="AG38" s="33">
        <f t="shared" si="2"/>
        <v>0</v>
      </c>
      <c r="AH38" s="34">
        <v>0</v>
      </c>
      <c r="AI38" s="33">
        <f t="shared" si="3"/>
        <v>0</v>
      </c>
      <c r="AJ38" s="34" t="s">
        <v>49</v>
      </c>
      <c r="AK38" s="34">
        <v>0</v>
      </c>
      <c r="AL38" s="33">
        <f t="shared" si="4"/>
        <v>0</v>
      </c>
      <c r="AM38" s="35"/>
      <c r="AN38" s="34" t="s">
        <v>49</v>
      </c>
      <c r="AO38" s="34" t="s">
        <v>49</v>
      </c>
      <c r="AP38" s="34" t="s">
        <v>49</v>
      </c>
      <c r="AQ38" s="34" t="s">
        <v>49</v>
      </c>
      <c r="AR38" s="34" t="s">
        <v>49</v>
      </c>
      <c r="AS38" s="27" t="s">
        <v>183</v>
      </c>
      <c r="AT38" s="34" t="s">
        <v>49</v>
      </c>
      <c r="AU38" s="73" t="s">
        <v>359</v>
      </c>
      <c r="AV38" s="79"/>
    </row>
    <row r="39" spans="1:53" ht="31.5" x14ac:dyDescent="0.2">
      <c r="A39" s="23">
        <v>31</v>
      </c>
      <c r="B39" s="23" t="s">
        <v>52</v>
      </c>
      <c r="C39" s="24"/>
      <c r="D39" s="37"/>
      <c r="E39" s="26"/>
      <c r="F39" s="64" t="s">
        <v>87</v>
      </c>
      <c r="G39" s="57" t="s">
        <v>101</v>
      </c>
      <c r="H39" s="12" t="s">
        <v>49</v>
      </c>
      <c r="I39" s="12" t="s">
        <v>49</v>
      </c>
      <c r="J39" s="43">
        <v>2</v>
      </c>
      <c r="K39" s="27" t="s">
        <v>341</v>
      </c>
      <c r="L39" s="27"/>
      <c r="M39" s="27"/>
      <c r="N39" s="27" t="s">
        <v>49</v>
      </c>
      <c r="O39" s="27" t="s">
        <v>49</v>
      </c>
      <c r="P39" s="51">
        <v>1889055</v>
      </c>
      <c r="Q39" s="28">
        <f t="shared" si="0"/>
        <v>3778110</v>
      </c>
      <c r="R39" s="29" t="s">
        <v>50</v>
      </c>
      <c r="S39" s="28">
        <f t="shared" si="5"/>
        <v>-3778110</v>
      </c>
      <c r="T39" s="27" t="s">
        <v>49</v>
      </c>
      <c r="U39" s="27" t="s">
        <v>49</v>
      </c>
      <c r="V39" s="27" t="s">
        <v>49</v>
      </c>
      <c r="W39" s="27" t="s">
        <v>49</v>
      </c>
      <c r="X39" s="27" t="s">
        <v>49</v>
      </c>
      <c r="Y39" s="31" t="s">
        <v>49</v>
      </c>
      <c r="Z39" s="31"/>
      <c r="AA39" s="31" t="s">
        <v>49</v>
      </c>
      <c r="AB39" s="31"/>
      <c r="AC39" s="31" t="s">
        <v>49</v>
      </c>
      <c r="AD39" s="32">
        <v>0</v>
      </c>
      <c r="AE39" s="33">
        <f t="shared" si="1"/>
        <v>0</v>
      </c>
      <c r="AF39" s="34">
        <v>0</v>
      </c>
      <c r="AG39" s="33">
        <f t="shared" si="2"/>
        <v>0</v>
      </c>
      <c r="AH39" s="34">
        <v>0</v>
      </c>
      <c r="AI39" s="33">
        <f t="shared" si="3"/>
        <v>0</v>
      </c>
      <c r="AJ39" s="34" t="s">
        <v>49</v>
      </c>
      <c r="AK39" s="34">
        <v>0</v>
      </c>
      <c r="AL39" s="33">
        <f t="shared" si="4"/>
        <v>0</v>
      </c>
      <c r="AM39" s="35"/>
      <c r="AN39" s="34" t="s">
        <v>49</v>
      </c>
      <c r="AO39" s="34" t="s">
        <v>49</v>
      </c>
      <c r="AP39" s="34" t="s">
        <v>49</v>
      </c>
      <c r="AQ39" s="34" t="s">
        <v>49</v>
      </c>
      <c r="AR39" s="34" t="s">
        <v>49</v>
      </c>
      <c r="AS39" s="27" t="s">
        <v>183</v>
      </c>
      <c r="AT39" s="34" t="s">
        <v>49</v>
      </c>
      <c r="AU39" s="73" t="s">
        <v>358</v>
      </c>
      <c r="AV39" s="68" t="s">
        <v>390</v>
      </c>
      <c r="AW39" s="1" t="s">
        <v>400</v>
      </c>
      <c r="AX39" s="1" t="s">
        <v>399</v>
      </c>
      <c r="AY39" s="1" t="s">
        <v>407</v>
      </c>
      <c r="AZ39" s="89">
        <v>399564</v>
      </c>
      <c r="BA39" s="89">
        <f>AZ39*J39</f>
        <v>799128</v>
      </c>
    </row>
    <row r="40" spans="1:53" ht="31.5" x14ac:dyDescent="0.2">
      <c r="A40" s="23">
        <v>32</v>
      </c>
      <c r="B40" s="23" t="s">
        <v>52</v>
      </c>
      <c r="C40" s="24"/>
      <c r="D40" s="37"/>
      <c r="E40" s="26"/>
      <c r="F40" s="64" t="s">
        <v>87</v>
      </c>
      <c r="G40" s="57" t="s">
        <v>102</v>
      </c>
      <c r="H40" s="12" t="s">
        <v>49</v>
      </c>
      <c r="I40" s="12" t="s">
        <v>49</v>
      </c>
      <c r="J40" s="43">
        <v>2</v>
      </c>
      <c r="K40" s="27" t="s">
        <v>341</v>
      </c>
      <c r="L40" s="27"/>
      <c r="M40" s="27"/>
      <c r="N40" s="27" t="s">
        <v>49</v>
      </c>
      <c r="O40" s="27" t="s">
        <v>49</v>
      </c>
      <c r="P40" s="51">
        <v>1889055</v>
      </c>
      <c r="Q40" s="28">
        <f t="shared" si="0"/>
        <v>3778110</v>
      </c>
      <c r="R40" s="29" t="s">
        <v>50</v>
      </c>
      <c r="S40" s="28">
        <f t="shared" si="5"/>
        <v>-3778110</v>
      </c>
      <c r="T40" s="27" t="s">
        <v>49</v>
      </c>
      <c r="U40" s="27" t="s">
        <v>49</v>
      </c>
      <c r="V40" s="27" t="s">
        <v>49</v>
      </c>
      <c r="W40" s="27" t="s">
        <v>49</v>
      </c>
      <c r="X40" s="27" t="s">
        <v>49</v>
      </c>
      <c r="Y40" s="31" t="s">
        <v>49</v>
      </c>
      <c r="Z40" s="31"/>
      <c r="AA40" s="31" t="s">
        <v>49</v>
      </c>
      <c r="AB40" s="31"/>
      <c r="AC40" s="31" t="s">
        <v>49</v>
      </c>
      <c r="AD40" s="32">
        <v>0</v>
      </c>
      <c r="AE40" s="33">
        <f t="shared" si="1"/>
        <v>0</v>
      </c>
      <c r="AF40" s="34">
        <v>0</v>
      </c>
      <c r="AG40" s="33">
        <f t="shared" si="2"/>
        <v>0</v>
      </c>
      <c r="AH40" s="34">
        <v>0</v>
      </c>
      <c r="AI40" s="33">
        <f t="shared" si="3"/>
        <v>0</v>
      </c>
      <c r="AJ40" s="34" t="s">
        <v>49</v>
      </c>
      <c r="AK40" s="34">
        <v>0</v>
      </c>
      <c r="AL40" s="33">
        <f t="shared" si="4"/>
        <v>0</v>
      </c>
      <c r="AM40" s="35"/>
      <c r="AN40" s="34" t="s">
        <v>49</v>
      </c>
      <c r="AO40" s="34" t="s">
        <v>49</v>
      </c>
      <c r="AP40" s="34" t="s">
        <v>49</v>
      </c>
      <c r="AQ40" s="34" t="s">
        <v>49</v>
      </c>
      <c r="AR40" s="34" t="s">
        <v>49</v>
      </c>
      <c r="AS40" s="27" t="s">
        <v>183</v>
      </c>
      <c r="AT40" s="34" t="s">
        <v>49</v>
      </c>
      <c r="AU40" s="73" t="s">
        <v>358</v>
      </c>
      <c r="AV40" s="68" t="s">
        <v>390</v>
      </c>
      <c r="AW40" s="1" t="s">
        <v>400</v>
      </c>
      <c r="AX40" s="1" t="s">
        <v>399</v>
      </c>
      <c r="AY40" s="13"/>
      <c r="AZ40" s="89">
        <v>399564</v>
      </c>
      <c r="BA40" s="89">
        <f>AZ40*J40</f>
        <v>799128</v>
      </c>
    </row>
    <row r="41" spans="1:53" ht="31.5" x14ac:dyDescent="0.2">
      <c r="A41" s="23">
        <v>33</v>
      </c>
      <c r="B41" s="23" t="s">
        <v>52</v>
      </c>
      <c r="C41" s="24"/>
      <c r="D41" s="37"/>
      <c r="E41" s="26"/>
      <c r="F41" s="64" t="s">
        <v>87</v>
      </c>
      <c r="G41" s="57" t="s">
        <v>103</v>
      </c>
      <c r="H41" s="12" t="s">
        <v>49</v>
      </c>
      <c r="I41" s="12" t="s">
        <v>49</v>
      </c>
      <c r="J41" s="43">
        <v>1</v>
      </c>
      <c r="K41" s="27" t="s">
        <v>341</v>
      </c>
      <c r="L41" s="27"/>
      <c r="M41" s="27"/>
      <c r="N41" s="27" t="s">
        <v>49</v>
      </c>
      <c r="O41" s="27" t="s">
        <v>49</v>
      </c>
      <c r="P41" s="51">
        <v>1889055</v>
      </c>
      <c r="Q41" s="28">
        <f t="shared" si="0"/>
        <v>1889055</v>
      </c>
      <c r="R41" s="29" t="s">
        <v>50</v>
      </c>
      <c r="S41" s="28">
        <f t="shared" si="5"/>
        <v>-1889055</v>
      </c>
      <c r="T41" s="27" t="s">
        <v>49</v>
      </c>
      <c r="U41" s="27" t="s">
        <v>49</v>
      </c>
      <c r="V41" s="27" t="s">
        <v>49</v>
      </c>
      <c r="W41" s="27" t="s">
        <v>49</v>
      </c>
      <c r="X41" s="27" t="s">
        <v>49</v>
      </c>
      <c r="Y41" s="31" t="s">
        <v>49</v>
      </c>
      <c r="Z41" s="31"/>
      <c r="AA41" s="31" t="s">
        <v>49</v>
      </c>
      <c r="AB41" s="31"/>
      <c r="AC41" s="31" t="s">
        <v>49</v>
      </c>
      <c r="AD41" s="32">
        <v>0</v>
      </c>
      <c r="AE41" s="33">
        <f t="shared" si="1"/>
        <v>0</v>
      </c>
      <c r="AF41" s="34">
        <v>0</v>
      </c>
      <c r="AG41" s="33">
        <f t="shared" si="2"/>
        <v>0</v>
      </c>
      <c r="AH41" s="34">
        <v>0</v>
      </c>
      <c r="AI41" s="33">
        <f t="shared" si="3"/>
        <v>0</v>
      </c>
      <c r="AJ41" s="34" t="s">
        <v>49</v>
      </c>
      <c r="AK41" s="34">
        <v>0</v>
      </c>
      <c r="AL41" s="33">
        <f t="shared" si="4"/>
        <v>0</v>
      </c>
      <c r="AM41" s="35"/>
      <c r="AN41" s="34" t="s">
        <v>49</v>
      </c>
      <c r="AO41" s="34" t="s">
        <v>49</v>
      </c>
      <c r="AP41" s="34" t="s">
        <v>49</v>
      </c>
      <c r="AQ41" s="34" t="s">
        <v>49</v>
      </c>
      <c r="AR41" s="34" t="s">
        <v>49</v>
      </c>
      <c r="AS41" s="27" t="s">
        <v>183</v>
      </c>
      <c r="AT41" s="34" t="s">
        <v>49</v>
      </c>
      <c r="AU41" s="73" t="s">
        <v>358</v>
      </c>
      <c r="AV41" s="68" t="s">
        <v>390</v>
      </c>
      <c r="AW41" s="1" t="s">
        <v>400</v>
      </c>
      <c r="AX41" s="1" t="s">
        <v>399</v>
      </c>
      <c r="AZ41" s="89">
        <v>414153.6</v>
      </c>
      <c r="BA41" s="89">
        <f>AZ41*J41</f>
        <v>414153.6</v>
      </c>
    </row>
    <row r="42" spans="1:53" ht="31.5" x14ac:dyDescent="0.2">
      <c r="A42" s="23">
        <v>34</v>
      </c>
      <c r="B42" s="23" t="s">
        <v>52</v>
      </c>
      <c r="C42" s="24"/>
      <c r="D42" s="37"/>
      <c r="E42" s="26"/>
      <c r="F42" s="64" t="s">
        <v>87</v>
      </c>
      <c r="G42" s="57" t="s">
        <v>104</v>
      </c>
      <c r="H42" s="12" t="s">
        <v>49</v>
      </c>
      <c r="I42" s="12" t="s">
        <v>49</v>
      </c>
      <c r="J42" s="43">
        <v>2</v>
      </c>
      <c r="K42" s="27" t="s">
        <v>341</v>
      </c>
      <c r="L42" s="27"/>
      <c r="M42" s="27"/>
      <c r="N42" s="27" t="s">
        <v>49</v>
      </c>
      <c r="O42" s="27" t="s">
        <v>49</v>
      </c>
      <c r="P42" s="51">
        <v>1889055</v>
      </c>
      <c r="Q42" s="28">
        <f t="shared" si="0"/>
        <v>3778110</v>
      </c>
      <c r="R42" s="29" t="s">
        <v>50</v>
      </c>
      <c r="S42" s="28">
        <f t="shared" si="5"/>
        <v>-3778110</v>
      </c>
      <c r="T42" s="27" t="s">
        <v>49</v>
      </c>
      <c r="U42" s="27" t="s">
        <v>49</v>
      </c>
      <c r="V42" s="27" t="s">
        <v>49</v>
      </c>
      <c r="W42" s="27" t="s">
        <v>49</v>
      </c>
      <c r="X42" s="27" t="s">
        <v>49</v>
      </c>
      <c r="Y42" s="31" t="s">
        <v>49</v>
      </c>
      <c r="Z42" s="31"/>
      <c r="AA42" s="31" t="s">
        <v>49</v>
      </c>
      <c r="AB42" s="31"/>
      <c r="AC42" s="31" t="s">
        <v>49</v>
      </c>
      <c r="AD42" s="32">
        <v>0</v>
      </c>
      <c r="AE42" s="33">
        <f t="shared" si="1"/>
        <v>0</v>
      </c>
      <c r="AF42" s="34">
        <v>0</v>
      </c>
      <c r="AG42" s="33">
        <f t="shared" si="2"/>
        <v>0</v>
      </c>
      <c r="AH42" s="34">
        <v>0</v>
      </c>
      <c r="AI42" s="33">
        <f t="shared" si="3"/>
        <v>0</v>
      </c>
      <c r="AJ42" s="34" t="s">
        <v>49</v>
      </c>
      <c r="AK42" s="34">
        <v>0</v>
      </c>
      <c r="AL42" s="33">
        <f t="shared" si="4"/>
        <v>0</v>
      </c>
      <c r="AM42" s="35"/>
      <c r="AN42" s="34" t="s">
        <v>49</v>
      </c>
      <c r="AO42" s="34" t="s">
        <v>49</v>
      </c>
      <c r="AP42" s="34" t="s">
        <v>49</v>
      </c>
      <c r="AQ42" s="34" t="s">
        <v>49</v>
      </c>
      <c r="AR42" s="34" t="s">
        <v>49</v>
      </c>
      <c r="AS42" s="27" t="s">
        <v>183</v>
      </c>
      <c r="AT42" s="34" t="s">
        <v>49</v>
      </c>
      <c r="AU42" s="73" t="s">
        <v>358</v>
      </c>
      <c r="AV42" s="68" t="s">
        <v>390</v>
      </c>
      <c r="AW42" s="1" t="s">
        <v>400</v>
      </c>
      <c r="AX42" s="1" t="s">
        <v>399</v>
      </c>
      <c r="AZ42" s="89">
        <v>439624.8</v>
      </c>
      <c r="BA42" s="89">
        <f>AZ42*J42</f>
        <v>879249.6</v>
      </c>
    </row>
    <row r="43" spans="1:53" ht="31.5" x14ac:dyDescent="0.2">
      <c r="A43" s="23">
        <v>35</v>
      </c>
      <c r="B43" s="23" t="s">
        <v>52</v>
      </c>
      <c r="C43" s="24"/>
      <c r="D43" s="37"/>
      <c r="E43" s="26"/>
      <c r="F43" s="64" t="s">
        <v>87</v>
      </c>
      <c r="G43" s="57" t="s">
        <v>375</v>
      </c>
      <c r="H43" s="12" t="s">
        <v>49</v>
      </c>
      <c r="I43" s="12" t="s">
        <v>49</v>
      </c>
      <c r="J43" s="43">
        <v>3</v>
      </c>
      <c r="K43" s="27" t="s">
        <v>341</v>
      </c>
      <c r="L43" s="27"/>
      <c r="M43" s="27"/>
      <c r="N43" s="27" t="s">
        <v>49</v>
      </c>
      <c r="O43" s="27" t="s">
        <v>49</v>
      </c>
      <c r="P43" s="51">
        <v>1889055</v>
      </c>
      <c r="Q43" s="28">
        <f t="shared" si="0"/>
        <v>5667165</v>
      </c>
      <c r="R43" s="29" t="s">
        <v>50</v>
      </c>
      <c r="S43" s="28">
        <f t="shared" si="5"/>
        <v>-5667165</v>
      </c>
      <c r="T43" s="27" t="s">
        <v>49</v>
      </c>
      <c r="U43" s="27" t="s">
        <v>49</v>
      </c>
      <c r="V43" s="27" t="s">
        <v>49</v>
      </c>
      <c r="W43" s="27" t="s">
        <v>49</v>
      </c>
      <c r="X43" s="27" t="s">
        <v>49</v>
      </c>
      <c r="Y43" s="31" t="s">
        <v>49</v>
      </c>
      <c r="Z43" s="31"/>
      <c r="AA43" s="31" t="s">
        <v>49</v>
      </c>
      <c r="AB43" s="31"/>
      <c r="AC43" s="31" t="s">
        <v>49</v>
      </c>
      <c r="AD43" s="32">
        <v>0</v>
      </c>
      <c r="AE43" s="33">
        <f>C43*AD43</f>
        <v>0</v>
      </c>
      <c r="AF43" s="34">
        <v>0</v>
      </c>
      <c r="AG43" s="33">
        <f t="shared" si="2"/>
        <v>0</v>
      </c>
      <c r="AH43" s="34">
        <v>0</v>
      </c>
      <c r="AI43" s="33">
        <f t="shared" si="3"/>
        <v>0</v>
      </c>
      <c r="AJ43" s="34" t="s">
        <v>49</v>
      </c>
      <c r="AK43" s="34">
        <v>0</v>
      </c>
      <c r="AL43" s="33">
        <f t="shared" si="4"/>
        <v>0</v>
      </c>
      <c r="AM43" s="35"/>
      <c r="AN43" s="34" t="s">
        <v>49</v>
      </c>
      <c r="AO43" s="34" t="s">
        <v>49</v>
      </c>
      <c r="AP43" s="34" t="s">
        <v>49</v>
      </c>
      <c r="AQ43" s="34" t="s">
        <v>49</v>
      </c>
      <c r="AR43" s="34" t="s">
        <v>49</v>
      </c>
      <c r="AS43" s="27" t="s">
        <v>183</v>
      </c>
      <c r="AT43" s="34" t="s">
        <v>49</v>
      </c>
      <c r="AU43" s="73" t="s">
        <v>358</v>
      </c>
      <c r="AV43" s="68" t="s">
        <v>390</v>
      </c>
      <c r="AW43" s="1" t="s">
        <v>400</v>
      </c>
      <c r="AX43" s="1" t="s">
        <v>399</v>
      </c>
      <c r="AZ43" s="89">
        <v>357238.8</v>
      </c>
      <c r="BA43" s="89">
        <f>AZ43*J43</f>
        <v>1071716.3999999999</v>
      </c>
    </row>
    <row r="44" spans="1:53" ht="47.25" x14ac:dyDescent="0.25">
      <c r="A44" s="23">
        <v>36</v>
      </c>
      <c r="B44" s="23" t="s">
        <v>52</v>
      </c>
      <c r="C44" s="24"/>
      <c r="D44" s="37"/>
      <c r="E44" s="26"/>
      <c r="F44" s="64" t="s">
        <v>105</v>
      </c>
      <c r="G44" s="57" t="s">
        <v>106</v>
      </c>
      <c r="H44" s="12"/>
      <c r="I44" s="12"/>
      <c r="J44" s="43">
        <v>1</v>
      </c>
      <c r="K44" s="27" t="s">
        <v>341</v>
      </c>
      <c r="L44" s="27"/>
      <c r="M44" s="27"/>
      <c r="N44" s="27"/>
      <c r="O44" s="27"/>
      <c r="P44" s="51">
        <v>1260000</v>
      </c>
      <c r="Q44" s="28">
        <f t="shared" si="0"/>
        <v>1260000</v>
      </c>
      <c r="R44" s="29" t="s">
        <v>50</v>
      </c>
      <c r="S44" s="28">
        <f t="shared" si="5"/>
        <v>-1260000</v>
      </c>
      <c r="T44" s="27" t="s">
        <v>49</v>
      </c>
      <c r="U44" s="27" t="s">
        <v>49</v>
      </c>
      <c r="V44" s="27" t="s">
        <v>49</v>
      </c>
      <c r="W44" s="27" t="s">
        <v>49</v>
      </c>
      <c r="X44" s="27" t="s">
        <v>49</v>
      </c>
      <c r="Y44" s="31" t="s">
        <v>49</v>
      </c>
      <c r="Z44" s="31"/>
      <c r="AA44" s="31" t="s">
        <v>49</v>
      </c>
      <c r="AB44" s="31"/>
      <c r="AC44" s="31" t="s">
        <v>49</v>
      </c>
      <c r="AD44" s="32">
        <v>0</v>
      </c>
      <c r="AE44" s="33">
        <f t="shared" ref="AE44:AE107" si="6">C44*AD44</f>
        <v>0</v>
      </c>
      <c r="AF44" s="34">
        <v>0</v>
      </c>
      <c r="AG44" s="33">
        <f t="shared" si="2"/>
        <v>0</v>
      </c>
      <c r="AH44" s="34">
        <v>0</v>
      </c>
      <c r="AI44" s="33">
        <f t="shared" si="3"/>
        <v>0</v>
      </c>
      <c r="AJ44" s="34" t="s">
        <v>49</v>
      </c>
      <c r="AK44" s="34">
        <v>0</v>
      </c>
      <c r="AL44" s="33">
        <f t="shared" si="4"/>
        <v>0</v>
      </c>
      <c r="AM44" s="35"/>
      <c r="AN44" s="34" t="s">
        <v>49</v>
      </c>
      <c r="AO44" s="34" t="s">
        <v>49</v>
      </c>
      <c r="AP44" s="34" t="s">
        <v>49</v>
      </c>
      <c r="AQ44" s="34" t="s">
        <v>49</v>
      </c>
      <c r="AR44" s="34" t="s">
        <v>49</v>
      </c>
      <c r="AS44" s="27" t="s">
        <v>183</v>
      </c>
      <c r="AT44" s="34" t="s">
        <v>49</v>
      </c>
      <c r="AU44" s="73" t="s">
        <v>358</v>
      </c>
      <c r="AV44" s="79" t="s">
        <v>388</v>
      </c>
      <c r="AW44" s="1" t="s">
        <v>400</v>
      </c>
      <c r="AX44" s="1" t="s">
        <v>411</v>
      </c>
      <c r="AY44" s="5" t="s">
        <v>412</v>
      </c>
      <c r="AZ44" s="99">
        <v>482436</v>
      </c>
      <c r="BA44" s="1">
        <f>AZ44*J44</f>
        <v>482436</v>
      </c>
    </row>
    <row r="45" spans="1:53" ht="56.25" x14ac:dyDescent="0.2">
      <c r="A45" s="23">
        <v>37</v>
      </c>
      <c r="B45" s="23" t="s">
        <v>52</v>
      </c>
      <c r="C45" s="24"/>
      <c r="D45" s="37"/>
      <c r="E45" s="26"/>
      <c r="F45" s="64" t="s">
        <v>107</v>
      </c>
      <c r="G45" s="57" t="s">
        <v>152</v>
      </c>
      <c r="H45" s="12"/>
      <c r="I45" s="12"/>
      <c r="J45" s="43">
        <v>3</v>
      </c>
      <c r="K45" s="27" t="s">
        <v>341</v>
      </c>
      <c r="L45" s="27"/>
      <c r="M45" s="27"/>
      <c r="N45" s="27"/>
      <c r="O45" s="27"/>
      <c r="P45" s="51">
        <v>67500000</v>
      </c>
      <c r="Q45" s="28">
        <f t="shared" si="0"/>
        <v>202500000</v>
      </c>
      <c r="R45" s="29" t="s">
        <v>50</v>
      </c>
      <c r="S45" s="28">
        <f t="shared" si="5"/>
        <v>-202500000</v>
      </c>
      <c r="T45" s="27" t="s">
        <v>49</v>
      </c>
      <c r="U45" s="27" t="s">
        <v>49</v>
      </c>
      <c r="V45" s="27" t="s">
        <v>49</v>
      </c>
      <c r="W45" s="27" t="s">
        <v>49</v>
      </c>
      <c r="X45" s="27" t="s">
        <v>49</v>
      </c>
      <c r="Y45" s="31" t="s">
        <v>49</v>
      </c>
      <c r="Z45" s="31"/>
      <c r="AA45" s="31" t="s">
        <v>49</v>
      </c>
      <c r="AB45" s="31"/>
      <c r="AC45" s="31" t="s">
        <v>49</v>
      </c>
      <c r="AD45" s="32">
        <v>0</v>
      </c>
      <c r="AE45" s="33">
        <f t="shared" si="6"/>
        <v>0</v>
      </c>
      <c r="AF45" s="34">
        <v>0</v>
      </c>
      <c r="AG45" s="33">
        <f t="shared" si="2"/>
        <v>0</v>
      </c>
      <c r="AH45" s="34">
        <v>0</v>
      </c>
      <c r="AI45" s="33">
        <f t="shared" si="3"/>
        <v>0</v>
      </c>
      <c r="AJ45" s="34" t="s">
        <v>49</v>
      </c>
      <c r="AK45" s="34">
        <v>0</v>
      </c>
      <c r="AL45" s="33">
        <f t="shared" si="4"/>
        <v>0</v>
      </c>
      <c r="AM45" s="35"/>
      <c r="AN45" s="34" t="s">
        <v>49</v>
      </c>
      <c r="AO45" s="34" t="s">
        <v>49</v>
      </c>
      <c r="AP45" s="34" t="s">
        <v>49</v>
      </c>
      <c r="AQ45" s="34" t="s">
        <v>49</v>
      </c>
      <c r="AR45" s="34" t="s">
        <v>49</v>
      </c>
      <c r="AS45" s="27" t="s">
        <v>183</v>
      </c>
      <c r="AT45" s="34" t="s">
        <v>49</v>
      </c>
      <c r="AU45" s="73" t="s">
        <v>356</v>
      </c>
      <c r="AV45" s="68" t="s">
        <v>379</v>
      </c>
      <c r="AW45" s="80" t="s">
        <v>393</v>
      </c>
    </row>
    <row r="46" spans="1:53" ht="93.75" x14ac:dyDescent="0.2">
      <c r="A46" s="23">
        <v>38</v>
      </c>
      <c r="B46" s="23" t="s">
        <v>52</v>
      </c>
      <c r="C46" s="24"/>
      <c r="D46" s="37"/>
      <c r="E46" s="26"/>
      <c r="F46" s="64" t="s">
        <v>108</v>
      </c>
      <c r="G46" s="57" t="s">
        <v>153</v>
      </c>
      <c r="H46" s="12"/>
      <c r="I46" s="12"/>
      <c r="J46" s="43">
        <v>1</v>
      </c>
      <c r="K46" s="27" t="s">
        <v>341</v>
      </c>
      <c r="L46" s="27"/>
      <c r="M46" s="27"/>
      <c r="N46" s="27"/>
      <c r="O46" s="27"/>
      <c r="P46" s="51">
        <v>4950000</v>
      </c>
      <c r="Q46" s="28">
        <f t="shared" si="0"/>
        <v>4950000</v>
      </c>
      <c r="R46" s="29" t="s">
        <v>50</v>
      </c>
      <c r="S46" s="28">
        <f t="shared" si="5"/>
        <v>-4950000</v>
      </c>
      <c r="T46" s="27" t="s">
        <v>49</v>
      </c>
      <c r="U46" s="27" t="s">
        <v>49</v>
      </c>
      <c r="V46" s="27" t="s">
        <v>49</v>
      </c>
      <c r="W46" s="27" t="s">
        <v>49</v>
      </c>
      <c r="X46" s="27" t="s">
        <v>49</v>
      </c>
      <c r="Y46" s="31" t="s">
        <v>49</v>
      </c>
      <c r="Z46" s="31"/>
      <c r="AA46" s="31" t="s">
        <v>49</v>
      </c>
      <c r="AB46" s="31"/>
      <c r="AC46" s="31" t="s">
        <v>49</v>
      </c>
      <c r="AD46" s="32">
        <v>0</v>
      </c>
      <c r="AE46" s="33">
        <f t="shared" si="6"/>
        <v>0</v>
      </c>
      <c r="AF46" s="34">
        <v>0</v>
      </c>
      <c r="AG46" s="33">
        <f t="shared" si="2"/>
        <v>0</v>
      </c>
      <c r="AH46" s="34">
        <v>0</v>
      </c>
      <c r="AI46" s="33">
        <f t="shared" si="3"/>
        <v>0</v>
      </c>
      <c r="AJ46" s="34" t="s">
        <v>49</v>
      </c>
      <c r="AK46" s="34">
        <v>0</v>
      </c>
      <c r="AL46" s="33">
        <f t="shared" si="4"/>
        <v>0</v>
      </c>
      <c r="AM46" s="35"/>
      <c r="AN46" s="34" t="s">
        <v>49</v>
      </c>
      <c r="AO46" s="34" t="s">
        <v>49</v>
      </c>
      <c r="AP46" s="34" t="s">
        <v>49</v>
      </c>
      <c r="AQ46" s="34" t="s">
        <v>49</v>
      </c>
      <c r="AR46" s="34" t="s">
        <v>49</v>
      </c>
      <c r="AS46" s="27" t="s">
        <v>183</v>
      </c>
      <c r="AT46" s="34" t="s">
        <v>49</v>
      </c>
      <c r="AU46" s="73" t="s">
        <v>358</v>
      </c>
      <c r="AV46" s="68" t="s">
        <v>384</v>
      </c>
      <c r="AW46" s="80" t="s">
        <v>394</v>
      </c>
      <c r="AX46" s="80" t="s">
        <v>397</v>
      </c>
    </row>
    <row r="47" spans="1:53" ht="75" x14ac:dyDescent="0.2">
      <c r="A47" s="23">
        <v>39</v>
      </c>
      <c r="B47" s="23" t="s">
        <v>52</v>
      </c>
      <c r="C47" s="24"/>
      <c r="D47" s="37"/>
      <c r="E47" s="26"/>
      <c r="F47" s="64" t="s">
        <v>109</v>
      </c>
      <c r="G47" s="57" t="s">
        <v>154</v>
      </c>
      <c r="H47" s="12"/>
      <c r="I47" s="12"/>
      <c r="J47" s="43">
        <v>1</v>
      </c>
      <c r="K47" s="27" t="s">
        <v>341</v>
      </c>
      <c r="L47" s="27"/>
      <c r="M47" s="27"/>
      <c r="N47" s="27"/>
      <c r="O47" s="27"/>
      <c r="P47" s="51">
        <v>4950000</v>
      </c>
      <c r="Q47" s="28">
        <f t="shared" si="0"/>
        <v>4950000</v>
      </c>
      <c r="R47" s="29" t="s">
        <v>50</v>
      </c>
      <c r="S47" s="28">
        <f t="shared" si="5"/>
        <v>-4950000</v>
      </c>
      <c r="T47" s="27" t="s">
        <v>49</v>
      </c>
      <c r="U47" s="27" t="s">
        <v>49</v>
      </c>
      <c r="V47" s="27" t="s">
        <v>49</v>
      </c>
      <c r="W47" s="27" t="s">
        <v>49</v>
      </c>
      <c r="X47" s="27" t="s">
        <v>49</v>
      </c>
      <c r="Y47" s="31" t="s">
        <v>49</v>
      </c>
      <c r="Z47" s="31"/>
      <c r="AA47" s="31" t="s">
        <v>49</v>
      </c>
      <c r="AB47" s="31"/>
      <c r="AC47" s="31" t="s">
        <v>49</v>
      </c>
      <c r="AD47" s="32">
        <v>0</v>
      </c>
      <c r="AE47" s="33">
        <f t="shared" si="6"/>
        <v>0</v>
      </c>
      <c r="AF47" s="34">
        <v>0</v>
      </c>
      <c r="AG47" s="33">
        <f t="shared" si="2"/>
        <v>0</v>
      </c>
      <c r="AH47" s="34">
        <v>0</v>
      </c>
      <c r="AI47" s="33">
        <f t="shared" si="3"/>
        <v>0</v>
      </c>
      <c r="AJ47" s="34" t="s">
        <v>49</v>
      </c>
      <c r="AK47" s="34">
        <v>0</v>
      </c>
      <c r="AL47" s="33">
        <f t="shared" si="4"/>
        <v>0</v>
      </c>
      <c r="AM47" s="35"/>
      <c r="AN47" s="34" t="s">
        <v>49</v>
      </c>
      <c r="AO47" s="34" t="s">
        <v>49</v>
      </c>
      <c r="AP47" s="34" t="s">
        <v>49</v>
      </c>
      <c r="AQ47" s="34" t="s">
        <v>49</v>
      </c>
      <c r="AR47" s="34" t="s">
        <v>49</v>
      </c>
      <c r="AS47" s="27" t="s">
        <v>183</v>
      </c>
      <c r="AT47" s="34" t="s">
        <v>49</v>
      </c>
      <c r="AU47" s="73" t="s">
        <v>358</v>
      </c>
      <c r="AV47" s="68" t="s">
        <v>384</v>
      </c>
      <c r="AW47" s="80" t="s">
        <v>394</v>
      </c>
      <c r="AX47" s="80" t="s">
        <v>397</v>
      </c>
    </row>
    <row r="48" spans="1:53" ht="75" x14ac:dyDescent="0.2">
      <c r="A48" s="23">
        <v>40</v>
      </c>
      <c r="B48" s="23" t="s">
        <v>52</v>
      </c>
      <c r="C48" s="24"/>
      <c r="D48" s="37"/>
      <c r="E48" s="26"/>
      <c r="F48" s="64" t="s">
        <v>110</v>
      </c>
      <c r="G48" s="57" t="s">
        <v>155</v>
      </c>
      <c r="H48" s="12"/>
      <c r="I48" s="12"/>
      <c r="J48" s="43">
        <v>1</v>
      </c>
      <c r="K48" s="27" t="s">
        <v>341</v>
      </c>
      <c r="L48" s="27"/>
      <c r="M48" s="27"/>
      <c r="N48" s="27"/>
      <c r="O48" s="27"/>
      <c r="P48" s="51">
        <v>594000</v>
      </c>
      <c r="Q48" s="28">
        <f t="shared" si="0"/>
        <v>594000</v>
      </c>
      <c r="R48" s="29" t="s">
        <v>50</v>
      </c>
      <c r="S48" s="28">
        <f t="shared" si="5"/>
        <v>-594000</v>
      </c>
      <c r="T48" s="27" t="s">
        <v>49</v>
      </c>
      <c r="U48" s="27" t="s">
        <v>49</v>
      </c>
      <c r="V48" s="27" t="s">
        <v>49</v>
      </c>
      <c r="W48" s="27" t="s">
        <v>49</v>
      </c>
      <c r="X48" s="27" t="s">
        <v>49</v>
      </c>
      <c r="Y48" s="31" t="s">
        <v>49</v>
      </c>
      <c r="Z48" s="31"/>
      <c r="AA48" s="31" t="s">
        <v>49</v>
      </c>
      <c r="AB48" s="31"/>
      <c r="AC48" s="31" t="s">
        <v>49</v>
      </c>
      <c r="AD48" s="32">
        <v>0</v>
      </c>
      <c r="AE48" s="33">
        <f t="shared" si="6"/>
        <v>0</v>
      </c>
      <c r="AF48" s="34">
        <v>0</v>
      </c>
      <c r="AG48" s="33">
        <f t="shared" si="2"/>
        <v>0</v>
      </c>
      <c r="AH48" s="34">
        <v>0</v>
      </c>
      <c r="AI48" s="33">
        <f t="shared" si="3"/>
        <v>0</v>
      </c>
      <c r="AJ48" s="34" t="s">
        <v>49</v>
      </c>
      <c r="AK48" s="34">
        <v>0</v>
      </c>
      <c r="AL48" s="33">
        <f t="shared" si="4"/>
        <v>0</v>
      </c>
      <c r="AM48" s="35"/>
      <c r="AN48" s="34" t="s">
        <v>49</v>
      </c>
      <c r="AO48" s="34" t="s">
        <v>49</v>
      </c>
      <c r="AP48" s="34" t="s">
        <v>49</v>
      </c>
      <c r="AQ48" s="34" t="s">
        <v>49</v>
      </c>
      <c r="AR48" s="34" t="s">
        <v>49</v>
      </c>
      <c r="AS48" s="27" t="s">
        <v>183</v>
      </c>
      <c r="AT48" s="34" t="s">
        <v>49</v>
      </c>
      <c r="AU48" s="73" t="s">
        <v>358</v>
      </c>
      <c r="AV48" s="68" t="s">
        <v>384</v>
      </c>
      <c r="AW48" s="80" t="s">
        <v>394</v>
      </c>
      <c r="AX48" s="80" t="s">
        <v>397</v>
      </c>
    </row>
    <row r="49" spans="1:53" x14ac:dyDescent="0.2">
      <c r="A49" s="23">
        <v>41</v>
      </c>
      <c r="B49" s="23" t="s">
        <v>52</v>
      </c>
      <c r="C49" s="24"/>
      <c r="D49" s="37"/>
      <c r="E49" s="26"/>
      <c r="F49" s="64" t="s">
        <v>111</v>
      </c>
      <c r="G49" s="57" t="s">
        <v>92</v>
      </c>
      <c r="H49" s="12"/>
      <c r="I49" s="12"/>
      <c r="J49" s="43">
        <v>1</v>
      </c>
      <c r="K49" s="27" t="s">
        <v>341</v>
      </c>
      <c r="L49" s="27"/>
      <c r="M49" s="27"/>
      <c r="N49" s="27"/>
      <c r="O49" s="27"/>
      <c r="P49" s="51">
        <v>675000</v>
      </c>
      <c r="Q49" s="28">
        <f t="shared" si="0"/>
        <v>675000</v>
      </c>
      <c r="R49" s="29" t="s">
        <v>50</v>
      </c>
      <c r="S49" s="28">
        <f t="shared" si="5"/>
        <v>-675000</v>
      </c>
      <c r="T49" s="27" t="s">
        <v>49</v>
      </c>
      <c r="U49" s="27" t="s">
        <v>49</v>
      </c>
      <c r="V49" s="27" t="s">
        <v>49</v>
      </c>
      <c r="W49" s="27" t="s">
        <v>49</v>
      </c>
      <c r="X49" s="27" t="s">
        <v>49</v>
      </c>
      <c r="Y49" s="31" t="s">
        <v>49</v>
      </c>
      <c r="Z49" s="31"/>
      <c r="AA49" s="31" t="s">
        <v>49</v>
      </c>
      <c r="AB49" s="31"/>
      <c r="AC49" s="31" t="s">
        <v>49</v>
      </c>
      <c r="AD49" s="32">
        <v>0</v>
      </c>
      <c r="AE49" s="33">
        <f t="shared" si="6"/>
        <v>0</v>
      </c>
      <c r="AF49" s="34">
        <v>0</v>
      </c>
      <c r="AG49" s="33">
        <f t="shared" si="2"/>
        <v>0</v>
      </c>
      <c r="AH49" s="34">
        <v>0</v>
      </c>
      <c r="AI49" s="33">
        <f t="shared" si="3"/>
        <v>0</v>
      </c>
      <c r="AJ49" s="34" t="s">
        <v>49</v>
      </c>
      <c r="AK49" s="34">
        <v>0</v>
      </c>
      <c r="AL49" s="33">
        <f t="shared" si="4"/>
        <v>0</v>
      </c>
      <c r="AM49" s="35"/>
      <c r="AN49" s="34" t="s">
        <v>49</v>
      </c>
      <c r="AO49" s="34" t="s">
        <v>49</v>
      </c>
      <c r="AP49" s="34" t="s">
        <v>49</v>
      </c>
      <c r="AQ49" s="34" t="s">
        <v>49</v>
      </c>
      <c r="AR49" s="34" t="s">
        <v>49</v>
      </c>
      <c r="AS49" s="27" t="s">
        <v>183</v>
      </c>
      <c r="AT49" s="34" t="s">
        <v>49</v>
      </c>
      <c r="AU49" s="73" t="s">
        <v>366</v>
      </c>
      <c r="AV49" s="68" t="s">
        <v>379</v>
      </c>
      <c r="AW49" s="80" t="s">
        <v>393</v>
      </c>
    </row>
    <row r="50" spans="1:53" ht="75" x14ac:dyDescent="0.2">
      <c r="A50" s="23">
        <v>42</v>
      </c>
      <c r="B50" s="23" t="s">
        <v>52</v>
      </c>
      <c r="C50" s="24"/>
      <c r="D50" s="37"/>
      <c r="E50" s="26"/>
      <c r="F50" s="64" t="s">
        <v>112</v>
      </c>
      <c r="G50" s="100" t="s">
        <v>156</v>
      </c>
      <c r="H50" s="12"/>
      <c r="I50" s="12"/>
      <c r="J50" s="43">
        <v>1</v>
      </c>
      <c r="K50" s="27" t="s">
        <v>341</v>
      </c>
      <c r="L50" s="27"/>
      <c r="M50" s="27"/>
      <c r="N50" s="27"/>
      <c r="O50" s="27"/>
      <c r="P50" s="51">
        <v>90000000</v>
      </c>
      <c r="Q50" s="28">
        <f t="shared" si="0"/>
        <v>90000000</v>
      </c>
      <c r="R50" s="29" t="s">
        <v>50</v>
      </c>
      <c r="S50" s="28">
        <f t="shared" si="5"/>
        <v>-90000000</v>
      </c>
      <c r="T50" s="27" t="s">
        <v>49</v>
      </c>
      <c r="U50" s="27" t="s">
        <v>49</v>
      </c>
      <c r="V50" s="27" t="s">
        <v>49</v>
      </c>
      <c r="W50" s="27" t="s">
        <v>49</v>
      </c>
      <c r="X50" s="27" t="s">
        <v>49</v>
      </c>
      <c r="Y50" s="31" t="s">
        <v>49</v>
      </c>
      <c r="Z50" s="31"/>
      <c r="AA50" s="31" t="s">
        <v>49</v>
      </c>
      <c r="AB50" s="31"/>
      <c r="AC50" s="31" t="s">
        <v>49</v>
      </c>
      <c r="AD50" s="32">
        <v>0</v>
      </c>
      <c r="AE50" s="33">
        <f t="shared" si="6"/>
        <v>0</v>
      </c>
      <c r="AF50" s="34">
        <v>0</v>
      </c>
      <c r="AG50" s="33">
        <f t="shared" si="2"/>
        <v>0</v>
      </c>
      <c r="AH50" s="34">
        <v>0</v>
      </c>
      <c r="AI50" s="33">
        <f t="shared" si="3"/>
        <v>0</v>
      </c>
      <c r="AJ50" s="34" t="s">
        <v>49</v>
      </c>
      <c r="AK50" s="34">
        <v>0</v>
      </c>
      <c r="AL50" s="33">
        <f t="shared" si="4"/>
        <v>0</v>
      </c>
      <c r="AM50" s="35"/>
      <c r="AN50" s="34" t="s">
        <v>49</v>
      </c>
      <c r="AO50" s="34" t="s">
        <v>49</v>
      </c>
      <c r="AP50" s="34" t="s">
        <v>49</v>
      </c>
      <c r="AQ50" s="34" t="s">
        <v>49</v>
      </c>
      <c r="AR50" s="34" t="s">
        <v>49</v>
      </c>
      <c r="AS50" s="27" t="s">
        <v>183</v>
      </c>
      <c r="AT50" s="34" t="s">
        <v>49</v>
      </c>
      <c r="AU50" s="73" t="s">
        <v>356</v>
      </c>
      <c r="AV50" s="68" t="s">
        <v>380</v>
      </c>
      <c r="AW50" s="1" t="s">
        <v>400</v>
      </c>
      <c r="AX50" s="1" t="s">
        <v>399</v>
      </c>
    </row>
    <row r="51" spans="1:53" ht="37.5" x14ac:dyDescent="0.2">
      <c r="A51" s="23">
        <v>43</v>
      </c>
      <c r="B51" s="23" t="s">
        <v>52</v>
      </c>
      <c r="C51" s="24"/>
      <c r="D51" s="37"/>
      <c r="E51" s="26"/>
      <c r="F51" s="64" t="s">
        <v>113</v>
      </c>
      <c r="G51" s="57" t="s">
        <v>157</v>
      </c>
      <c r="H51" s="12"/>
      <c r="I51" s="12"/>
      <c r="J51" s="43">
        <v>1</v>
      </c>
      <c r="K51" s="27" t="s">
        <v>341</v>
      </c>
      <c r="L51" s="27"/>
      <c r="M51" s="27"/>
      <c r="N51" s="27"/>
      <c r="O51" s="27"/>
      <c r="P51" s="51">
        <v>13500000</v>
      </c>
      <c r="Q51" s="28">
        <f t="shared" si="0"/>
        <v>13500000</v>
      </c>
      <c r="R51" s="29" t="s">
        <v>50</v>
      </c>
      <c r="S51" s="28">
        <f t="shared" si="5"/>
        <v>-13500000</v>
      </c>
      <c r="T51" s="27" t="s">
        <v>49</v>
      </c>
      <c r="U51" s="27" t="s">
        <v>49</v>
      </c>
      <c r="V51" s="27" t="s">
        <v>49</v>
      </c>
      <c r="W51" s="27" t="s">
        <v>49</v>
      </c>
      <c r="X51" s="27" t="s">
        <v>49</v>
      </c>
      <c r="Y51" s="31" t="s">
        <v>49</v>
      </c>
      <c r="Z51" s="31"/>
      <c r="AA51" s="31" t="s">
        <v>49</v>
      </c>
      <c r="AB51" s="31"/>
      <c r="AC51" s="31" t="s">
        <v>49</v>
      </c>
      <c r="AD51" s="32">
        <v>0</v>
      </c>
      <c r="AE51" s="33">
        <f t="shared" si="6"/>
        <v>0</v>
      </c>
      <c r="AF51" s="34">
        <v>0</v>
      </c>
      <c r="AG51" s="33">
        <f t="shared" si="2"/>
        <v>0</v>
      </c>
      <c r="AH51" s="34">
        <v>0</v>
      </c>
      <c r="AI51" s="33">
        <f t="shared" si="3"/>
        <v>0</v>
      </c>
      <c r="AJ51" s="34" t="s">
        <v>49</v>
      </c>
      <c r="AK51" s="34">
        <v>0</v>
      </c>
      <c r="AL51" s="33">
        <f t="shared" si="4"/>
        <v>0</v>
      </c>
      <c r="AM51" s="35"/>
      <c r="AN51" s="34" t="s">
        <v>49</v>
      </c>
      <c r="AO51" s="34" t="s">
        <v>49</v>
      </c>
      <c r="AP51" s="34" t="s">
        <v>49</v>
      </c>
      <c r="AQ51" s="34" t="s">
        <v>49</v>
      </c>
      <c r="AR51" s="34" t="s">
        <v>49</v>
      </c>
      <c r="AS51" s="27" t="s">
        <v>183</v>
      </c>
      <c r="AT51" s="34" t="s">
        <v>49</v>
      </c>
      <c r="AU51" s="73" t="s">
        <v>360</v>
      </c>
      <c r="AV51" s="68" t="s">
        <v>381</v>
      </c>
    </row>
    <row r="52" spans="1:53" ht="93.75" x14ac:dyDescent="0.2">
      <c r="A52" s="23">
        <v>44</v>
      </c>
      <c r="B52" s="23" t="s">
        <v>52</v>
      </c>
      <c r="C52" s="24"/>
      <c r="D52" s="37"/>
      <c r="E52" s="26"/>
      <c r="F52" s="64" t="s">
        <v>114</v>
      </c>
      <c r="G52" s="100" t="s">
        <v>158</v>
      </c>
      <c r="H52" s="12"/>
      <c r="I52" s="12"/>
      <c r="J52" s="43">
        <v>1</v>
      </c>
      <c r="K52" s="27" t="s">
        <v>341</v>
      </c>
      <c r="L52" s="27"/>
      <c r="M52" s="27"/>
      <c r="N52" s="27"/>
      <c r="O52" s="27"/>
      <c r="P52" s="51">
        <v>2778660</v>
      </c>
      <c r="Q52" s="28">
        <f t="shared" si="0"/>
        <v>2778660</v>
      </c>
      <c r="R52" s="29" t="s">
        <v>50</v>
      </c>
      <c r="S52" s="28">
        <f t="shared" si="5"/>
        <v>-2778660</v>
      </c>
      <c r="T52" s="27" t="s">
        <v>49</v>
      </c>
      <c r="U52" s="27" t="s">
        <v>49</v>
      </c>
      <c r="V52" s="27" t="s">
        <v>49</v>
      </c>
      <c r="W52" s="27" t="s">
        <v>49</v>
      </c>
      <c r="X52" s="27" t="s">
        <v>49</v>
      </c>
      <c r="Y52" s="31" t="s">
        <v>49</v>
      </c>
      <c r="Z52" s="31"/>
      <c r="AA52" s="31" t="s">
        <v>49</v>
      </c>
      <c r="AB52" s="31"/>
      <c r="AC52" s="31" t="s">
        <v>49</v>
      </c>
      <c r="AD52" s="32">
        <v>0</v>
      </c>
      <c r="AE52" s="33">
        <f t="shared" si="6"/>
        <v>0</v>
      </c>
      <c r="AF52" s="34">
        <v>0</v>
      </c>
      <c r="AG52" s="33">
        <f t="shared" si="2"/>
        <v>0</v>
      </c>
      <c r="AH52" s="34">
        <v>0</v>
      </c>
      <c r="AI52" s="33">
        <f t="shared" si="3"/>
        <v>0</v>
      </c>
      <c r="AJ52" s="34" t="s">
        <v>49</v>
      </c>
      <c r="AK52" s="34">
        <v>0</v>
      </c>
      <c r="AL52" s="33">
        <f t="shared" si="4"/>
        <v>0</v>
      </c>
      <c r="AM52" s="35"/>
      <c r="AN52" s="34" t="s">
        <v>49</v>
      </c>
      <c r="AO52" s="34" t="s">
        <v>49</v>
      </c>
      <c r="AP52" s="34" t="s">
        <v>49</v>
      </c>
      <c r="AQ52" s="34" t="s">
        <v>49</v>
      </c>
      <c r="AR52" s="34" t="s">
        <v>49</v>
      </c>
      <c r="AS52" s="27" t="s">
        <v>183</v>
      </c>
      <c r="AT52" s="34" t="s">
        <v>49</v>
      </c>
      <c r="AU52" s="73" t="s">
        <v>345</v>
      </c>
      <c r="AV52" s="68" t="s">
        <v>380</v>
      </c>
      <c r="AW52" s="1" t="s">
        <v>400</v>
      </c>
      <c r="AX52" s="1" t="s">
        <v>399</v>
      </c>
    </row>
    <row r="53" spans="1:53" ht="37.5" x14ac:dyDescent="0.2">
      <c r="A53" s="23">
        <v>45</v>
      </c>
      <c r="B53" s="23" t="s">
        <v>52</v>
      </c>
      <c r="C53" s="24"/>
      <c r="D53" s="37"/>
      <c r="E53" s="26"/>
      <c r="F53" s="64" t="s">
        <v>115</v>
      </c>
      <c r="G53" s="57" t="s">
        <v>159</v>
      </c>
      <c r="H53" s="12"/>
      <c r="I53" s="12"/>
      <c r="J53" s="43">
        <v>1</v>
      </c>
      <c r="K53" s="27" t="s">
        <v>341</v>
      </c>
      <c r="L53" s="27"/>
      <c r="M53" s="27"/>
      <c r="N53" s="27"/>
      <c r="O53" s="27"/>
      <c r="P53" s="51">
        <v>6750000</v>
      </c>
      <c r="Q53" s="28">
        <f t="shared" si="0"/>
        <v>6750000</v>
      </c>
      <c r="R53" s="29" t="s">
        <v>50</v>
      </c>
      <c r="S53" s="28">
        <f t="shared" si="5"/>
        <v>-6750000</v>
      </c>
      <c r="T53" s="27" t="s">
        <v>49</v>
      </c>
      <c r="U53" s="27" t="s">
        <v>49</v>
      </c>
      <c r="V53" s="27" t="s">
        <v>49</v>
      </c>
      <c r="W53" s="27" t="s">
        <v>49</v>
      </c>
      <c r="X53" s="27" t="s">
        <v>49</v>
      </c>
      <c r="Y53" s="31" t="s">
        <v>49</v>
      </c>
      <c r="Z53" s="31"/>
      <c r="AA53" s="31" t="s">
        <v>49</v>
      </c>
      <c r="AB53" s="31"/>
      <c r="AC53" s="31" t="s">
        <v>49</v>
      </c>
      <c r="AD53" s="32">
        <v>0</v>
      </c>
      <c r="AE53" s="33">
        <f t="shared" si="6"/>
        <v>0</v>
      </c>
      <c r="AF53" s="34">
        <v>0</v>
      </c>
      <c r="AG53" s="33">
        <f t="shared" si="2"/>
        <v>0</v>
      </c>
      <c r="AH53" s="34">
        <v>0</v>
      </c>
      <c r="AI53" s="33">
        <f t="shared" si="3"/>
        <v>0</v>
      </c>
      <c r="AJ53" s="34" t="s">
        <v>49</v>
      </c>
      <c r="AK53" s="34">
        <v>0</v>
      </c>
      <c r="AL53" s="33">
        <f t="shared" si="4"/>
        <v>0</v>
      </c>
      <c r="AM53" s="35"/>
      <c r="AN53" s="34" t="s">
        <v>49</v>
      </c>
      <c r="AO53" s="34" t="s">
        <v>49</v>
      </c>
      <c r="AP53" s="34" t="s">
        <v>49</v>
      </c>
      <c r="AQ53" s="34" t="s">
        <v>49</v>
      </c>
      <c r="AR53" s="34" t="s">
        <v>49</v>
      </c>
      <c r="AS53" s="27" t="s">
        <v>183</v>
      </c>
      <c r="AT53" s="34" t="s">
        <v>49</v>
      </c>
      <c r="AU53" s="73" t="s">
        <v>358</v>
      </c>
      <c r="AV53" s="68" t="s">
        <v>415</v>
      </c>
      <c r="AW53" s="80" t="s">
        <v>393</v>
      </c>
      <c r="AZ53" s="89">
        <v>444372</v>
      </c>
      <c r="BA53" s="89">
        <f>AZ53*J53</f>
        <v>444372</v>
      </c>
    </row>
    <row r="54" spans="1:53" ht="112.5" x14ac:dyDescent="0.2">
      <c r="A54" s="23">
        <v>46</v>
      </c>
      <c r="B54" s="23" t="s">
        <v>52</v>
      </c>
      <c r="C54" s="24"/>
      <c r="D54" s="37"/>
      <c r="E54" s="26"/>
      <c r="F54" s="64" t="s">
        <v>116</v>
      </c>
      <c r="G54" s="57" t="s">
        <v>160</v>
      </c>
      <c r="H54" s="12"/>
      <c r="I54" s="12"/>
      <c r="J54" s="43">
        <v>1</v>
      </c>
      <c r="K54" s="27" t="s">
        <v>341</v>
      </c>
      <c r="L54" s="27"/>
      <c r="M54" s="27"/>
      <c r="N54" s="27"/>
      <c r="O54" s="27"/>
      <c r="P54" s="51">
        <v>4392000</v>
      </c>
      <c r="Q54" s="28">
        <f t="shared" si="0"/>
        <v>4392000</v>
      </c>
      <c r="R54" s="29" t="s">
        <v>50</v>
      </c>
      <c r="S54" s="28">
        <f t="shared" si="5"/>
        <v>-4392000</v>
      </c>
      <c r="T54" s="27" t="s">
        <v>49</v>
      </c>
      <c r="U54" s="27" t="s">
        <v>49</v>
      </c>
      <c r="V54" s="27" t="s">
        <v>49</v>
      </c>
      <c r="W54" s="27" t="s">
        <v>49</v>
      </c>
      <c r="X54" s="27" t="s">
        <v>49</v>
      </c>
      <c r="Y54" s="31" t="s">
        <v>49</v>
      </c>
      <c r="Z54" s="31"/>
      <c r="AA54" s="31" t="s">
        <v>49</v>
      </c>
      <c r="AB54" s="31"/>
      <c r="AC54" s="31" t="s">
        <v>49</v>
      </c>
      <c r="AD54" s="32">
        <v>0</v>
      </c>
      <c r="AE54" s="33">
        <f t="shared" si="6"/>
        <v>0</v>
      </c>
      <c r="AF54" s="34">
        <v>0</v>
      </c>
      <c r="AG54" s="33">
        <f t="shared" si="2"/>
        <v>0</v>
      </c>
      <c r="AH54" s="34">
        <v>0</v>
      </c>
      <c r="AI54" s="33">
        <f t="shared" si="3"/>
        <v>0</v>
      </c>
      <c r="AJ54" s="34" t="s">
        <v>49</v>
      </c>
      <c r="AK54" s="34">
        <v>0</v>
      </c>
      <c r="AL54" s="33">
        <f t="shared" si="4"/>
        <v>0</v>
      </c>
      <c r="AM54" s="35"/>
      <c r="AN54" s="34" t="s">
        <v>49</v>
      </c>
      <c r="AO54" s="34" t="s">
        <v>49</v>
      </c>
      <c r="AP54" s="34" t="s">
        <v>49</v>
      </c>
      <c r="AQ54" s="34" t="s">
        <v>49</v>
      </c>
      <c r="AR54" s="34" t="s">
        <v>49</v>
      </c>
      <c r="AS54" s="27" t="s">
        <v>183</v>
      </c>
      <c r="AT54" s="34" t="s">
        <v>49</v>
      </c>
      <c r="AU54" s="73" t="s">
        <v>366</v>
      </c>
      <c r="AV54" s="68" t="s">
        <v>379</v>
      </c>
      <c r="AW54" s="80" t="s">
        <v>393</v>
      </c>
    </row>
    <row r="55" spans="1:53" ht="56.25" x14ac:dyDescent="0.2">
      <c r="A55" s="23">
        <v>47</v>
      </c>
      <c r="B55" s="23" t="s">
        <v>52</v>
      </c>
      <c r="C55" s="24"/>
      <c r="D55" s="37"/>
      <c r="E55" s="26"/>
      <c r="F55" s="64" t="s">
        <v>117</v>
      </c>
      <c r="G55" s="57" t="s">
        <v>161</v>
      </c>
      <c r="H55" s="12"/>
      <c r="I55" s="12"/>
      <c r="J55" s="43">
        <v>1</v>
      </c>
      <c r="K55" s="27" t="s">
        <v>341</v>
      </c>
      <c r="L55" s="27"/>
      <c r="M55" s="27"/>
      <c r="N55" s="27"/>
      <c r="O55" s="27"/>
      <c r="P55" s="51">
        <v>1852425</v>
      </c>
      <c r="Q55" s="28">
        <f t="shared" si="0"/>
        <v>1852425</v>
      </c>
      <c r="R55" s="29" t="s">
        <v>50</v>
      </c>
      <c r="S55" s="28">
        <f t="shared" si="5"/>
        <v>-1852425</v>
      </c>
      <c r="T55" s="27" t="s">
        <v>49</v>
      </c>
      <c r="U55" s="27" t="s">
        <v>49</v>
      </c>
      <c r="V55" s="27" t="s">
        <v>49</v>
      </c>
      <c r="W55" s="27" t="s">
        <v>49</v>
      </c>
      <c r="X55" s="27" t="s">
        <v>49</v>
      </c>
      <c r="Y55" s="31" t="s">
        <v>49</v>
      </c>
      <c r="Z55" s="31"/>
      <c r="AA55" s="31" t="s">
        <v>49</v>
      </c>
      <c r="AB55" s="31"/>
      <c r="AC55" s="31" t="s">
        <v>49</v>
      </c>
      <c r="AD55" s="32">
        <v>0</v>
      </c>
      <c r="AE55" s="33">
        <f t="shared" si="6"/>
        <v>0</v>
      </c>
      <c r="AF55" s="34">
        <v>0</v>
      </c>
      <c r="AG55" s="33">
        <f t="shared" si="2"/>
        <v>0</v>
      </c>
      <c r="AH55" s="34">
        <v>0</v>
      </c>
      <c r="AI55" s="33">
        <f t="shared" si="3"/>
        <v>0</v>
      </c>
      <c r="AJ55" s="34" t="s">
        <v>49</v>
      </c>
      <c r="AK55" s="34">
        <v>0</v>
      </c>
      <c r="AL55" s="33">
        <f t="shared" si="4"/>
        <v>0</v>
      </c>
      <c r="AM55" s="35"/>
      <c r="AN55" s="34" t="s">
        <v>49</v>
      </c>
      <c r="AO55" s="34" t="s">
        <v>49</v>
      </c>
      <c r="AP55" s="34" t="s">
        <v>49</v>
      </c>
      <c r="AQ55" s="34" t="s">
        <v>49</v>
      </c>
      <c r="AR55" s="34" t="s">
        <v>49</v>
      </c>
      <c r="AS55" s="27" t="s">
        <v>183</v>
      </c>
      <c r="AT55" s="34" t="s">
        <v>49</v>
      </c>
      <c r="AU55" s="73" t="s">
        <v>356</v>
      </c>
      <c r="AV55" s="68" t="s">
        <v>379</v>
      </c>
      <c r="AW55" s="80" t="s">
        <v>393</v>
      </c>
    </row>
    <row r="56" spans="1:53" ht="56.25" x14ac:dyDescent="0.2">
      <c r="A56" s="23">
        <v>48</v>
      </c>
      <c r="B56" s="23" t="s">
        <v>52</v>
      </c>
      <c r="C56" s="24"/>
      <c r="D56" s="37"/>
      <c r="E56" s="26"/>
      <c r="F56" s="64" t="s">
        <v>118</v>
      </c>
      <c r="G56" s="100" t="s">
        <v>162</v>
      </c>
      <c r="H56" s="12"/>
      <c r="I56" s="12"/>
      <c r="J56" s="43">
        <v>1</v>
      </c>
      <c r="K56" s="27" t="s">
        <v>341</v>
      </c>
      <c r="L56" s="27"/>
      <c r="M56" s="27"/>
      <c r="N56" s="27"/>
      <c r="O56" s="27"/>
      <c r="P56" s="51">
        <v>1852425</v>
      </c>
      <c r="Q56" s="28">
        <f t="shared" si="0"/>
        <v>1852425</v>
      </c>
      <c r="R56" s="29" t="s">
        <v>50</v>
      </c>
      <c r="S56" s="28">
        <f t="shared" si="5"/>
        <v>-1852425</v>
      </c>
      <c r="T56" s="27" t="s">
        <v>49</v>
      </c>
      <c r="U56" s="27" t="s">
        <v>49</v>
      </c>
      <c r="V56" s="27" t="s">
        <v>49</v>
      </c>
      <c r="W56" s="27" t="s">
        <v>49</v>
      </c>
      <c r="X56" s="27" t="s">
        <v>49</v>
      </c>
      <c r="Y56" s="31" t="s">
        <v>49</v>
      </c>
      <c r="Z56" s="31"/>
      <c r="AA56" s="31" t="s">
        <v>49</v>
      </c>
      <c r="AB56" s="31"/>
      <c r="AC56" s="31" t="s">
        <v>49</v>
      </c>
      <c r="AD56" s="32">
        <v>0</v>
      </c>
      <c r="AE56" s="33">
        <f t="shared" si="6"/>
        <v>0</v>
      </c>
      <c r="AF56" s="34">
        <v>0</v>
      </c>
      <c r="AG56" s="33">
        <f t="shared" si="2"/>
        <v>0</v>
      </c>
      <c r="AH56" s="34">
        <v>0</v>
      </c>
      <c r="AI56" s="33">
        <f t="shared" si="3"/>
        <v>0</v>
      </c>
      <c r="AJ56" s="34" t="s">
        <v>49</v>
      </c>
      <c r="AK56" s="34">
        <v>0</v>
      </c>
      <c r="AL56" s="33">
        <f t="shared" si="4"/>
        <v>0</v>
      </c>
      <c r="AM56" s="35"/>
      <c r="AN56" s="34" t="s">
        <v>49</v>
      </c>
      <c r="AO56" s="34" t="s">
        <v>49</v>
      </c>
      <c r="AP56" s="34" t="s">
        <v>49</v>
      </c>
      <c r="AQ56" s="34" t="s">
        <v>49</v>
      </c>
      <c r="AR56" s="34" t="s">
        <v>49</v>
      </c>
      <c r="AS56" s="27" t="s">
        <v>183</v>
      </c>
      <c r="AT56" s="34" t="s">
        <v>49</v>
      </c>
      <c r="AU56" s="73" t="s">
        <v>369</v>
      </c>
      <c r="AV56" s="68" t="s">
        <v>379</v>
      </c>
      <c r="AW56" s="80" t="s">
        <v>393</v>
      </c>
    </row>
    <row r="57" spans="1:53" ht="56.25" x14ac:dyDescent="0.2">
      <c r="A57" s="23">
        <v>49</v>
      </c>
      <c r="B57" s="23" t="s">
        <v>52</v>
      </c>
      <c r="C57" s="24"/>
      <c r="D57" s="37"/>
      <c r="E57" s="26"/>
      <c r="F57" s="64" t="s">
        <v>119</v>
      </c>
      <c r="G57" s="57" t="s">
        <v>163</v>
      </c>
      <c r="H57" s="12"/>
      <c r="I57" s="12"/>
      <c r="J57" s="43">
        <v>1</v>
      </c>
      <c r="K57" s="27" t="s">
        <v>341</v>
      </c>
      <c r="L57" s="27"/>
      <c r="M57" s="27"/>
      <c r="N57" s="27"/>
      <c r="O57" s="27"/>
      <c r="P57" s="51">
        <v>71326800</v>
      </c>
      <c r="Q57" s="28">
        <f t="shared" si="0"/>
        <v>71326800</v>
      </c>
      <c r="R57" s="29" t="s">
        <v>50</v>
      </c>
      <c r="S57" s="28">
        <f t="shared" si="5"/>
        <v>-71326800</v>
      </c>
      <c r="T57" s="27" t="s">
        <v>49</v>
      </c>
      <c r="U57" s="27" t="s">
        <v>49</v>
      </c>
      <c r="V57" s="27" t="s">
        <v>49</v>
      </c>
      <c r="W57" s="27" t="s">
        <v>49</v>
      </c>
      <c r="X57" s="27" t="s">
        <v>49</v>
      </c>
      <c r="Y57" s="31" t="s">
        <v>49</v>
      </c>
      <c r="Z57" s="31"/>
      <c r="AA57" s="31" t="s">
        <v>49</v>
      </c>
      <c r="AB57" s="31"/>
      <c r="AC57" s="31" t="s">
        <v>49</v>
      </c>
      <c r="AD57" s="32">
        <v>0</v>
      </c>
      <c r="AE57" s="33">
        <f t="shared" si="6"/>
        <v>0</v>
      </c>
      <c r="AF57" s="34">
        <v>0</v>
      </c>
      <c r="AG57" s="33">
        <f t="shared" si="2"/>
        <v>0</v>
      </c>
      <c r="AH57" s="34">
        <v>0</v>
      </c>
      <c r="AI57" s="33">
        <f t="shared" si="3"/>
        <v>0</v>
      </c>
      <c r="AJ57" s="34" t="s">
        <v>49</v>
      </c>
      <c r="AK57" s="34">
        <v>0</v>
      </c>
      <c r="AL57" s="33">
        <f t="shared" si="4"/>
        <v>0</v>
      </c>
      <c r="AM57" s="35"/>
      <c r="AN57" s="34" t="s">
        <v>49</v>
      </c>
      <c r="AO57" s="34" t="s">
        <v>49</v>
      </c>
      <c r="AP57" s="34" t="s">
        <v>49</v>
      </c>
      <c r="AQ57" s="34" t="s">
        <v>49</v>
      </c>
      <c r="AR57" s="34" t="s">
        <v>49</v>
      </c>
      <c r="AS57" s="27" t="s">
        <v>183</v>
      </c>
      <c r="AT57" s="34" t="s">
        <v>49</v>
      </c>
      <c r="AU57" s="73" t="s">
        <v>356</v>
      </c>
      <c r="AV57" s="68" t="s">
        <v>382</v>
      </c>
    </row>
    <row r="58" spans="1:53" ht="37.5" x14ac:dyDescent="0.2">
      <c r="A58" s="23">
        <v>50</v>
      </c>
      <c r="B58" s="23" t="s">
        <v>52</v>
      </c>
      <c r="C58" s="24"/>
      <c r="D58" s="37"/>
      <c r="E58" s="26"/>
      <c r="F58" s="64" t="s">
        <v>120</v>
      </c>
      <c r="G58" s="57" t="s">
        <v>164</v>
      </c>
      <c r="H58" s="12"/>
      <c r="I58" s="12"/>
      <c r="J58" s="43">
        <v>2</v>
      </c>
      <c r="K58" s="27" t="s">
        <v>341</v>
      </c>
      <c r="L58" s="27"/>
      <c r="M58" s="27"/>
      <c r="N58" s="27"/>
      <c r="O58" s="27"/>
      <c r="P58" s="51">
        <v>877500</v>
      </c>
      <c r="Q58" s="28">
        <f t="shared" si="0"/>
        <v>1755000</v>
      </c>
      <c r="R58" s="29" t="s">
        <v>50</v>
      </c>
      <c r="S58" s="28">
        <f t="shared" si="5"/>
        <v>-1755000</v>
      </c>
      <c r="T58" s="27" t="s">
        <v>49</v>
      </c>
      <c r="U58" s="27" t="s">
        <v>49</v>
      </c>
      <c r="V58" s="27" t="s">
        <v>49</v>
      </c>
      <c r="W58" s="27" t="s">
        <v>49</v>
      </c>
      <c r="X58" s="27" t="s">
        <v>49</v>
      </c>
      <c r="Y58" s="31" t="s">
        <v>49</v>
      </c>
      <c r="Z58" s="31"/>
      <c r="AA58" s="31" t="s">
        <v>49</v>
      </c>
      <c r="AB58" s="31"/>
      <c r="AC58" s="31" t="s">
        <v>49</v>
      </c>
      <c r="AD58" s="32">
        <v>0</v>
      </c>
      <c r="AE58" s="33">
        <f t="shared" si="6"/>
        <v>0</v>
      </c>
      <c r="AF58" s="34">
        <v>0</v>
      </c>
      <c r="AG58" s="33">
        <f t="shared" si="2"/>
        <v>0</v>
      </c>
      <c r="AH58" s="34">
        <v>0</v>
      </c>
      <c r="AI58" s="33">
        <f t="shared" si="3"/>
        <v>0</v>
      </c>
      <c r="AJ58" s="34" t="s">
        <v>49</v>
      </c>
      <c r="AK58" s="34">
        <v>0</v>
      </c>
      <c r="AL58" s="33">
        <f t="shared" si="4"/>
        <v>0</v>
      </c>
      <c r="AM58" s="35"/>
      <c r="AN58" s="34" t="s">
        <v>49</v>
      </c>
      <c r="AO58" s="34" t="s">
        <v>49</v>
      </c>
      <c r="AP58" s="34" t="s">
        <v>49</v>
      </c>
      <c r="AQ58" s="34" t="s">
        <v>49</v>
      </c>
      <c r="AR58" s="34" t="s">
        <v>49</v>
      </c>
      <c r="AS58" s="27" t="s">
        <v>183</v>
      </c>
      <c r="AT58" s="34" t="s">
        <v>49</v>
      </c>
      <c r="AU58" s="73" t="s">
        <v>366</v>
      </c>
      <c r="AV58" s="68" t="s">
        <v>379</v>
      </c>
      <c r="AW58" s="80" t="s">
        <v>393</v>
      </c>
    </row>
    <row r="59" spans="1:53" ht="56.25" x14ac:dyDescent="0.2">
      <c r="A59" s="23">
        <v>51</v>
      </c>
      <c r="B59" s="23" t="s">
        <v>52</v>
      </c>
      <c r="C59" s="24"/>
      <c r="D59" s="37"/>
      <c r="E59" s="26"/>
      <c r="F59" s="64" t="s">
        <v>121</v>
      </c>
      <c r="G59" s="57" t="s">
        <v>165</v>
      </c>
      <c r="H59" s="12"/>
      <c r="I59" s="12"/>
      <c r="J59" s="43">
        <v>1</v>
      </c>
      <c r="K59" s="27" t="s">
        <v>341</v>
      </c>
      <c r="L59" s="27"/>
      <c r="M59" s="27"/>
      <c r="N59" s="27"/>
      <c r="O59" s="27"/>
      <c r="P59" s="51">
        <v>1157760</v>
      </c>
      <c r="Q59" s="28">
        <f t="shared" si="0"/>
        <v>1157760</v>
      </c>
      <c r="R59" s="29" t="s">
        <v>50</v>
      </c>
      <c r="S59" s="28">
        <f t="shared" si="5"/>
        <v>-1157760</v>
      </c>
      <c r="T59" s="27" t="s">
        <v>49</v>
      </c>
      <c r="U59" s="27" t="s">
        <v>49</v>
      </c>
      <c r="V59" s="27" t="s">
        <v>49</v>
      </c>
      <c r="W59" s="27" t="s">
        <v>49</v>
      </c>
      <c r="X59" s="27" t="s">
        <v>49</v>
      </c>
      <c r="Y59" s="31" t="s">
        <v>49</v>
      </c>
      <c r="Z59" s="31"/>
      <c r="AA59" s="31" t="s">
        <v>49</v>
      </c>
      <c r="AB59" s="31"/>
      <c r="AC59" s="31" t="s">
        <v>49</v>
      </c>
      <c r="AD59" s="32">
        <v>0</v>
      </c>
      <c r="AE59" s="33">
        <f t="shared" si="6"/>
        <v>0</v>
      </c>
      <c r="AF59" s="34">
        <v>0</v>
      </c>
      <c r="AG59" s="33">
        <f t="shared" si="2"/>
        <v>0</v>
      </c>
      <c r="AH59" s="34">
        <v>0</v>
      </c>
      <c r="AI59" s="33">
        <f t="shared" si="3"/>
        <v>0</v>
      </c>
      <c r="AJ59" s="34" t="s">
        <v>49</v>
      </c>
      <c r="AK59" s="34">
        <v>0</v>
      </c>
      <c r="AL59" s="33">
        <f t="shared" si="4"/>
        <v>0</v>
      </c>
      <c r="AM59" s="35"/>
      <c r="AN59" s="34" t="s">
        <v>49</v>
      </c>
      <c r="AO59" s="34" t="s">
        <v>49</v>
      </c>
      <c r="AP59" s="34" t="s">
        <v>49</v>
      </c>
      <c r="AQ59" s="34" t="s">
        <v>49</v>
      </c>
      <c r="AR59" s="34" t="s">
        <v>49</v>
      </c>
      <c r="AS59" s="27" t="s">
        <v>183</v>
      </c>
      <c r="AT59" s="34" t="s">
        <v>49</v>
      </c>
      <c r="AU59" s="73" t="s">
        <v>356</v>
      </c>
      <c r="AV59" s="68" t="s">
        <v>379</v>
      </c>
      <c r="AW59" s="80" t="s">
        <v>393</v>
      </c>
    </row>
    <row r="60" spans="1:53" ht="75" x14ac:dyDescent="0.2">
      <c r="A60" s="23">
        <v>52</v>
      </c>
      <c r="B60" s="23" t="s">
        <v>52</v>
      </c>
      <c r="C60" s="24"/>
      <c r="D60" s="37"/>
      <c r="E60" s="26"/>
      <c r="F60" s="64" t="s">
        <v>122</v>
      </c>
      <c r="G60" s="100" t="s">
        <v>158</v>
      </c>
      <c r="H60" s="12"/>
      <c r="I60" s="12"/>
      <c r="J60" s="43">
        <v>2</v>
      </c>
      <c r="K60" s="27" t="s">
        <v>341</v>
      </c>
      <c r="L60" s="27"/>
      <c r="M60" s="27"/>
      <c r="N60" s="27"/>
      <c r="O60" s="27"/>
      <c r="P60" s="51">
        <v>2755530</v>
      </c>
      <c r="Q60" s="28">
        <f t="shared" si="0"/>
        <v>5511060</v>
      </c>
      <c r="R60" s="29" t="s">
        <v>50</v>
      </c>
      <c r="S60" s="28">
        <f t="shared" si="5"/>
        <v>-5511060</v>
      </c>
      <c r="T60" s="27" t="s">
        <v>49</v>
      </c>
      <c r="U60" s="27" t="s">
        <v>49</v>
      </c>
      <c r="V60" s="27" t="s">
        <v>49</v>
      </c>
      <c r="W60" s="27" t="s">
        <v>49</v>
      </c>
      <c r="X60" s="27" t="s">
        <v>49</v>
      </c>
      <c r="Y60" s="31" t="s">
        <v>49</v>
      </c>
      <c r="Z60" s="31"/>
      <c r="AA60" s="31" t="s">
        <v>49</v>
      </c>
      <c r="AB60" s="31"/>
      <c r="AC60" s="31" t="s">
        <v>49</v>
      </c>
      <c r="AD60" s="32">
        <v>0</v>
      </c>
      <c r="AE60" s="33">
        <f t="shared" si="6"/>
        <v>0</v>
      </c>
      <c r="AF60" s="34">
        <v>0</v>
      </c>
      <c r="AG60" s="33">
        <f t="shared" si="2"/>
        <v>0</v>
      </c>
      <c r="AH60" s="34">
        <v>0</v>
      </c>
      <c r="AI60" s="33">
        <f t="shared" si="3"/>
        <v>0</v>
      </c>
      <c r="AJ60" s="34" t="s">
        <v>49</v>
      </c>
      <c r="AK60" s="34">
        <v>0</v>
      </c>
      <c r="AL60" s="33">
        <f t="shared" si="4"/>
        <v>0</v>
      </c>
      <c r="AM60" s="35"/>
      <c r="AN60" s="34" t="s">
        <v>49</v>
      </c>
      <c r="AO60" s="34" t="s">
        <v>49</v>
      </c>
      <c r="AP60" s="34" t="s">
        <v>49</v>
      </c>
      <c r="AQ60" s="34" t="s">
        <v>49</v>
      </c>
      <c r="AR60" s="34" t="s">
        <v>49</v>
      </c>
      <c r="AS60" s="27" t="s">
        <v>183</v>
      </c>
      <c r="AT60" s="34" t="s">
        <v>49</v>
      </c>
      <c r="AU60" s="73" t="s">
        <v>345</v>
      </c>
      <c r="AV60" s="68"/>
    </row>
    <row r="61" spans="1:53" ht="75" x14ac:dyDescent="0.2">
      <c r="A61" s="23">
        <v>53</v>
      </c>
      <c r="B61" s="23" t="s">
        <v>52</v>
      </c>
      <c r="C61" s="24"/>
      <c r="D61" s="37"/>
      <c r="E61" s="26"/>
      <c r="F61" s="64" t="s">
        <v>123</v>
      </c>
      <c r="G61" s="57" t="s">
        <v>166</v>
      </c>
      <c r="H61" s="12"/>
      <c r="I61" s="12"/>
      <c r="J61" s="43">
        <v>1</v>
      </c>
      <c r="K61" s="27" t="s">
        <v>341</v>
      </c>
      <c r="L61" s="27"/>
      <c r="M61" s="27"/>
      <c r="N61" s="27"/>
      <c r="O61" s="27"/>
      <c r="P61" s="51">
        <v>3051945</v>
      </c>
      <c r="Q61" s="28">
        <f t="shared" si="0"/>
        <v>3051945</v>
      </c>
      <c r="R61" s="29" t="s">
        <v>50</v>
      </c>
      <c r="S61" s="28">
        <f t="shared" si="5"/>
        <v>-3051945</v>
      </c>
      <c r="T61" s="27" t="s">
        <v>49</v>
      </c>
      <c r="U61" s="27" t="s">
        <v>49</v>
      </c>
      <c r="V61" s="27" t="s">
        <v>49</v>
      </c>
      <c r="W61" s="27" t="s">
        <v>49</v>
      </c>
      <c r="X61" s="27" t="s">
        <v>49</v>
      </c>
      <c r="Y61" s="31" t="s">
        <v>49</v>
      </c>
      <c r="Z61" s="31"/>
      <c r="AA61" s="31" t="s">
        <v>49</v>
      </c>
      <c r="AB61" s="31"/>
      <c r="AC61" s="31" t="s">
        <v>49</v>
      </c>
      <c r="AD61" s="32">
        <v>0</v>
      </c>
      <c r="AE61" s="33">
        <f t="shared" si="6"/>
        <v>0</v>
      </c>
      <c r="AF61" s="34">
        <v>0</v>
      </c>
      <c r="AG61" s="33">
        <f t="shared" si="2"/>
        <v>0</v>
      </c>
      <c r="AH61" s="34">
        <v>0</v>
      </c>
      <c r="AI61" s="33">
        <f t="shared" si="3"/>
        <v>0</v>
      </c>
      <c r="AJ61" s="34" t="s">
        <v>49</v>
      </c>
      <c r="AK61" s="34">
        <v>0</v>
      </c>
      <c r="AL61" s="33">
        <f t="shared" si="4"/>
        <v>0</v>
      </c>
      <c r="AM61" s="35"/>
      <c r="AN61" s="34" t="s">
        <v>49</v>
      </c>
      <c r="AO61" s="34" t="s">
        <v>49</v>
      </c>
      <c r="AP61" s="34" t="s">
        <v>49</v>
      </c>
      <c r="AQ61" s="34" t="s">
        <v>49</v>
      </c>
      <c r="AR61" s="34" t="s">
        <v>49</v>
      </c>
      <c r="AS61" s="27" t="s">
        <v>183</v>
      </c>
      <c r="AT61" s="34" t="s">
        <v>49</v>
      </c>
      <c r="AU61" s="73" t="s">
        <v>356</v>
      </c>
      <c r="AV61" s="68"/>
    </row>
    <row r="62" spans="1:53" ht="75" x14ac:dyDescent="0.2">
      <c r="A62" s="23">
        <v>54</v>
      </c>
      <c r="B62" s="23" t="s">
        <v>52</v>
      </c>
      <c r="C62" s="24"/>
      <c r="D62" s="37"/>
      <c r="E62" s="26"/>
      <c r="F62" s="64" t="s">
        <v>124</v>
      </c>
      <c r="G62" s="57" t="s">
        <v>166</v>
      </c>
      <c r="H62" s="12"/>
      <c r="I62" s="12"/>
      <c r="J62" s="43">
        <v>1</v>
      </c>
      <c r="K62" s="27" t="s">
        <v>341</v>
      </c>
      <c r="L62" s="27"/>
      <c r="M62" s="27"/>
      <c r="N62" s="27"/>
      <c r="O62" s="27"/>
      <c r="P62" s="51">
        <v>3051945</v>
      </c>
      <c r="Q62" s="28">
        <f t="shared" si="0"/>
        <v>3051945</v>
      </c>
      <c r="R62" s="29" t="s">
        <v>50</v>
      </c>
      <c r="S62" s="28">
        <f t="shared" si="5"/>
        <v>-3051945</v>
      </c>
      <c r="T62" s="27" t="s">
        <v>49</v>
      </c>
      <c r="U62" s="27" t="s">
        <v>49</v>
      </c>
      <c r="V62" s="27" t="s">
        <v>49</v>
      </c>
      <c r="W62" s="27" t="s">
        <v>49</v>
      </c>
      <c r="X62" s="27" t="s">
        <v>49</v>
      </c>
      <c r="Y62" s="31" t="s">
        <v>49</v>
      </c>
      <c r="Z62" s="31"/>
      <c r="AA62" s="31" t="s">
        <v>49</v>
      </c>
      <c r="AB62" s="31"/>
      <c r="AC62" s="31" t="s">
        <v>49</v>
      </c>
      <c r="AD62" s="32">
        <v>0</v>
      </c>
      <c r="AE62" s="33">
        <f t="shared" si="6"/>
        <v>0</v>
      </c>
      <c r="AF62" s="34">
        <v>0</v>
      </c>
      <c r="AG62" s="33">
        <f t="shared" si="2"/>
        <v>0</v>
      </c>
      <c r="AH62" s="34">
        <v>0</v>
      </c>
      <c r="AI62" s="33">
        <f t="shared" si="3"/>
        <v>0</v>
      </c>
      <c r="AJ62" s="34" t="s">
        <v>49</v>
      </c>
      <c r="AK62" s="34">
        <v>0</v>
      </c>
      <c r="AL62" s="33">
        <f t="shared" si="4"/>
        <v>0</v>
      </c>
      <c r="AM62" s="35"/>
      <c r="AN62" s="34" t="s">
        <v>49</v>
      </c>
      <c r="AO62" s="34" t="s">
        <v>49</v>
      </c>
      <c r="AP62" s="34" t="s">
        <v>49</v>
      </c>
      <c r="AQ62" s="34" t="s">
        <v>49</v>
      </c>
      <c r="AR62" s="34" t="s">
        <v>49</v>
      </c>
      <c r="AS62" s="27" t="s">
        <v>183</v>
      </c>
      <c r="AT62" s="34" t="s">
        <v>49</v>
      </c>
      <c r="AU62" s="73" t="s">
        <v>356</v>
      </c>
      <c r="AV62" s="68"/>
    </row>
    <row r="63" spans="1:53" ht="56.25" x14ac:dyDescent="0.2">
      <c r="A63" s="23">
        <v>55</v>
      </c>
      <c r="B63" s="23" t="s">
        <v>52</v>
      </c>
      <c r="C63" s="24"/>
      <c r="D63" s="37"/>
      <c r="E63" s="26"/>
      <c r="F63" s="64" t="s">
        <v>125</v>
      </c>
      <c r="G63" s="57" t="s">
        <v>167</v>
      </c>
      <c r="H63" s="12"/>
      <c r="I63" s="12"/>
      <c r="J63" s="43">
        <v>1</v>
      </c>
      <c r="K63" s="27" t="s">
        <v>341</v>
      </c>
      <c r="L63" s="27"/>
      <c r="M63" s="27"/>
      <c r="N63" s="27"/>
      <c r="O63" s="27"/>
      <c r="P63" s="51">
        <v>3803940</v>
      </c>
      <c r="Q63" s="28">
        <f t="shared" si="0"/>
        <v>3803940</v>
      </c>
      <c r="R63" s="29" t="s">
        <v>50</v>
      </c>
      <c r="S63" s="28">
        <f t="shared" si="5"/>
        <v>-3803940</v>
      </c>
      <c r="T63" s="27" t="s">
        <v>49</v>
      </c>
      <c r="U63" s="27" t="s">
        <v>49</v>
      </c>
      <c r="V63" s="27" t="s">
        <v>49</v>
      </c>
      <c r="W63" s="27" t="s">
        <v>49</v>
      </c>
      <c r="X63" s="27" t="s">
        <v>49</v>
      </c>
      <c r="Y63" s="31" t="s">
        <v>49</v>
      </c>
      <c r="Z63" s="31"/>
      <c r="AA63" s="31" t="s">
        <v>49</v>
      </c>
      <c r="AB63" s="31"/>
      <c r="AC63" s="31" t="s">
        <v>49</v>
      </c>
      <c r="AD63" s="32">
        <v>0</v>
      </c>
      <c r="AE63" s="33">
        <f t="shared" si="6"/>
        <v>0</v>
      </c>
      <c r="AF63" s="34">
        <v>0</v>
      </c>
      <c r="AG63" s="33">
        <f t="shared" si="2"/>
        <v>0</v>
      </c>
      <c r="AH63" s="34">
        <v>0</v>
      </c>
      <c r="AI63" s="33">
        <f t="shared" si="3"/>
        <v>0</v>
      </c>
      <c r="AJ63" s="34" t="s">
        <v>49</v>
      </c>
      <c r="AK63" s="34">
        <v>0</v>
      </c>
      <c r="AL63" s="33">
        <f t="shared" si="4"/>
        <v>0</v>
      </c>
      <c r="AM63" s="35"/>
      <c r="AN63" s="34" t="s">
        <v>49</v>
      </c>
      <c r="AO63" s="34" t="s">
        <v>49</v>
      </c>
      <c r="AP63" s="34" t="s">
        <v>49</v>
      </c>
      <c r="AQ63" s="34" t="s">
        <v>49</v>
      </c>
      <c r="AR63" s="34" t="s">
        <v>49</v>
      </c>
      <c r="AS63" s="27" t="s">
        <v>183</v>
      </c>
      <c r="AT63" s="34" t="s">
        <v>49</v>
      </c>
      <c r="AU63" s="73" t="s">
        <v>346</v>
      </c>
      <c r="AV63" s="68"/>
    </row>
    <row r="64" spans="1:53" ht="37.5" x14ac:dyDescent="0.2">
      <c r="A64" s="23">
        <v>56</v>
      </c>
      <c r="B64" s="23" t="s">
        <v>52</v>
      </c>
      <c r="C64" s="24"/>
      <c r="D64" s="37"/>
      <c r="E64" s="26"/>
      <c r="F64" s="64" t="s">
        <v>126</v>
      </c>
      <c r="G64" s="57" t="s">
        <v>167</v>
      </c>
      <c r="H64" s="12"/>
      <c r="I64" s="12"/>
      <c r="J64" s="43">
        <v>1</v>
      </c>
      <c r="K64" s="27" t="s">
        <v>341</v>
      </c>
      <c r="L64" s="27"/>
      <c r="M64" s="27"/>
      <c r="N64" s="27"/>
      <c r="O64" s="27"/>
      <c r="P64" s="51">
        <v>3982500</v>
      </c>
      <c r="Q64" s="28">
        <f t="shared" si="0"/>
        <v>3982500</v>
      </c>
      <c r="R64" s="29" t="s">
        <v>50</v>
      </c>
      <c r="S64" s="28">
        <f t="shared" si="5"/>
        <v>-3982500</v>
      </c>
      <c r="T64" s="27" t="s">
        <v>49</v>
      </c>
      <c r="U64" s="27" t="s">
        <v>49</v>
      </c>
      <c r="V64" s="27" t="s">
        <v>49</v>
      </c>
      <c r="W64" s="27" t="s">
        <v>49</v>
      </c>
      <c r="X64" s="27" t="s">
        <v>49</v>
      </c>
      <c r="Y64" s="31" t="s">
        <v>49</v>
      </c>
      <c r="Z64" s="31"/>
      <c r="AA64" s="31" t="s">
        <v>49</v>
      </c>
      <c r="AB64" s="31"/>
      <c r="AC64" s="31" t="s">
        <v>49</v>
      </c>
      <c r="AD64" s="32">
        <v>0</v>
      </c>
      <c r="AE64" s="33">
        <f t="shared" si="6"/>
        <v>0</v>
      </c>
      <c r="AF64" s="34">
        <v>0</v>
      </c>
      <c r="AG64" s="33">
        <f t="shared" si="2"/>
        <v>0</v>
      </c>
      <c r="AH64" s="34">
        <v>0</v>
      </c>
      <c r="AI64" s="33">
        <f t="shared" si="3"/>
        <v>0</v>
      </c>
      <c r="AJ64" s="34" t="s">
        <v>49</v>
      </c>
      <c r="AK64" s="34">
        <v>0</v>
      </c>
      <c r="AL64" s="33">
        <f t="shared" si="4"/>
        <v>0</v>
      </c>
      <c r="AM64" s="35"/>
      <c r="AN64" s="34" t="s">
        <v>49</v>
      </c>
      <c r="AO64" s="34" t="s">
        <v>49</v>
      </c>
      <c r="AP64" s="34" t="s">
        <v>49</v>
      </c>
      <c r="AQ64" s="34" t="s">
        <v>49</v>
      </c>
      <c r="AR64" s="34" t="s">
        <v>49</v>
      </c>
      <c r="AS64" s="27" t="s">
        <v>183</v>
      </c>
      <c r="AT64" s="34" t="s">
        <v>49</v>
      </c>
      <c r="AU64" s="73" t="s">
        <v>346</v>
      </c>
      <c r="AV64" s="68"/>
    </row>
    <row r="65" spans="1:50" ht="37.5" x14ac:dyDescent="0.2">
      <c r="A65" s="23">
        <v>57</v>
      </c>
      <c r="B65" s="23" t="s">
        <v>52</v>
      </c>
      <c r="C65" s="24"/>
      <c r="D65" s="37"/>
      <c r="E65" s="26"/>
      <c r="F65" s="64" t="s">
        <v>127</v>
      </c>
      <c r="G65" s="57" t="s">
        <v>168</v>
      </c>
      <c r="H65" s="12"/>
      <c r="I65" s="12"/>
      <c r="J65" s="43">
        <v>1</v>
      </c>
      <c r="K65" s="27" t="s">
        <v>341</v>
      </c>
      <c r="L65" s="27"/>
      <c r="M65" s="27"/>
      <c r="N65" s="27"/>
      <c r="O65" s="27"/>
      <c r="P65" s="51">
        <v>393660</v>
      </c>
      <c r="Q65" s="28">
        <f t="shared" si="0"/>
        <v>393660</v>
      </c>
      <c r="R65" s="29" t="s">
        <v>50</v>
      </c>
      <c r="S65" s="28">
        <f t="shared" si="5"/>
        <v>-393660</v>
      </c>
      <c r="T65" s="27" t="s">
        <v>49</v>
      </c>
      <c r="U65" s="27" t="s">
        <v>49</v>
      </c>
      <c r="V65" s="27" t="s">
        <v>49</v>
      </c>
      <c r="W65" s="27" t="s">
        <v>49</v>
      </c>
      <c r="X65" s="27" t="s">
        <v>49</v>
      </c>
      <c r="Y65" s="31" t="s">
        <v>49</v>
      </c>
      <c r="Z65" s="31"/>
      <c r="AA65" s="31" t="s">
        <v>49</v>
      </c>
      <c r="AB65" s="31"/>
      <c r="AC65" s="31" t="s">
        <v>49</v>
      </c>
      <c r="AD65" s="32">
        <v>0</v>
      </c>
      <c r="AE65" s="33">
        <f t="shared" si="6"/>
        <v>0</v>
      </c>
      <c r="AF65" s="34">
        <v>0</v>
      </c>
      <c r="AG65" s="33">
        <f t="shared" si="2"/>
        <v>0</v>
      </c>
      <c r="AH65" s="34">
        <v>0</v>
      </c>
      <c r="AI65" s="33">
        <f t="shared" si="3"/>
        <v>0</v>
      </c>
      <c r="AJ65" s="34" t="s">
        <v>49</v>
      </c>
      <c r="AK65" s="34">
        <v>0</v>
      </c>
      <c r="AL65" s="33">
        <f t="shared" si="4"/>
        <v>0</v>
      </c>
      <c r="AM65" s="35"/>
      <c r="AN65" s="34" t="s">
        <v>49</v>
      </c>
      <c r="AO65" s="34" t="s">
        <v>49</v>
      </c>
      <c r="AP65" s="34" t="s">
        <v>49</v>
      </c>
      <c r="AQ65" s="34" t="s">
        <v>49</v>
      </c>
      <c r="AR65" s="34" t="s">
        <v>49</v>
      </c>
      <c r="AS65" s="27" t="s">
        <v>183</v>
      </c>
      <c r="AT65" s="34" t="s">
        <v>49</v>
      </c>
      <c r="AU65" s="73" t="s">
        <v>347</v>
      </c>
      <c r="AV65" s="68"/>
    </row>
    <row r="66" spans="1:50" ht="37.5" x14ac:dyDescent="0.2">
      <c r="A66" s="23">
        <v>58</v>
      </c>
      <c r="B66" s="23" t="s">
        <v>52</v>
      </c>
      <c r="C66" s="24"/>
      <c r="D66" s="37"/>
      <c r="E66" s="26"/>
      <c r="F66" s="64" t="s">
        <v>128</v>
      </c>
      <c r="G66" s="57" t="s">
        <v>169</v>
      </c>
      <c r="H66" s="12"/>
      <c r="I66" s="12"/>
      <c r="J66" s="43">
        <v>1</v>
      </c>
      <c r="K66" s="27" t="s">
        <v>341</v>
      </c>
      <c r="L66" s="27"/>
      <c r="M66" s="27"/>
      <c r="N66" s="27"/>
      <c r="O66" s="27"/>
      <c r="P66" s="51">
        <v>1521000</v>
      </c>
      <c r="Q66" s="28">
        <f t="shared" si="0"/>
        <v>1521000</v>
      </c>
      <c r="R66" s="29" t="s">
        <v>50</v>
      </c>
      <c r="S66" s="28">
        <f t="shared" si="5"/>
        <v>-1521000</v>
      </c>
      <c r="T66" s="27" t="s">
        <v>49</v>
      </c>
      <c r="U66" s="27" t="s">
        <v>49</v>
      </c>
      <c r="V66" s="27" t="s">
        <v>49</v>
      </c>
      <c r="W66" s="27" t="s">
        <v>49</v>
      </c>
      <c r="X66" s="27" t="s">
        <v>49</v>
      </c>
      <c r="Y66" s="31" t="s">
        <v>49</v>
      </c>
      <c r="Z66" s="31"/>
      <c r="AA66" s="31" t="s">
        <v>49</v>
      </c>
      <c r="AB66" s="31"/>
      <c r="AC66" s="31" t="s">
        <v>49</v>
      </c>
      <c r="AD66" s="32">
        <v>0</v>
      </c>
      <c r="AE66" s="33">
        <f t="shared" si="6"/>
        <v>0</v>
      </c>
      <c r="AF66" s="34">
        <v>0</v>
      </c>
      <c r="AG66" s="33">
        <f t="shared" si="2"/>
        <v>0</v>
      </c>
      <c r="AH66" s="34">
        <v>0</v>
      </c>
      <c r="AI66" s="33">
        <f t="shared" si="3"/>
        <v>0</v>
      </c>
      <c r="AJ66" s="34" t="s">
        <v>49</v>
      </c>
      <c r="AK66" s="34">
        <v>0</v>
      </c>
      <c r="AL66" s="33">
        <f t="shared" si="4"/>
        <v>0</v>
      </c>
      <c r="AM66" s="35"/>
      <c r="AN66" s="34" t="s">
        <v>49</v>
      </c>
      <c r="AO66" s="34" t="s">
        <v>49</v>
      </c>
      <c r="AP66" s="34" t="s">
        <v>49</v>
      </c>
      <c r="AQ66" s="34" t="s">
        <v>49</v>
      </c>
      <c r="AR66" s="34" t="s">
        <v>49</v>
      </c>
      <c r="AS66" s="27" t="s">
        <v>183</v>
      </c>
      <c r="AT66" s="34" t="s">
        <v>49</v>
      </c>
      <c r="AU66" s="73" t="s">
        <v>349</v>
      </c>
      <c r="AV66" s="68"/>
    </row>
    <row r="67" spans="1:50" ht="37.5" x14ac:dyDescent="0.2">
      <c r="A67" s="23">
        <v>59</v>
      </c>
      <c r="B67" s="23" t="s">
        <v>52</v>
      </c>
      <c r="C67" s="24"/>
      <c r="D67" s="37"/>
      <c r="E67" s="26"/>
      <c r="F67" s="64" t="s">
        <v>129</v>
      </c>
      <c r="G67" s="57" t="s">
        <v>170</v>
      </c>
      <c r="H67" s="12"/>
      <c r="I67" s="12"/>
      <c r="J67" s="43">
        <v>1</v>
      </c>
      <c r="K67" s="27" t="s">
        <v>341</v>
      </c>
      <c r="L67" s="27"/>
      <c r="M67" s="27"/>
      <c r="N67" s="27"/>
      <c r="O67" s="27"/>
      <c r="P67" s="51">
        <v>1620900</v>
      </c>
      <c r="Q67" s="28">
        <f t="shared" si="0"/>
        <v>1620900</v>
      </c>
      <c r="R67" s="29" t="s">
        <v>50</v>
      </c>
      <c r="S67" s="28">
        <f t="shared" si="5"/>
        <v>-1620900</v>
      </c>
      <c r="T67" s="27" t="s">
        <v>49</v>
      </c>
      <c r="U67" s="27" t="s">
        <v>49</v>
      </c>
      <c r="V67" s="27" t="s">
        <v>49</v>
      </c>
      <c r="W67" s="27" t="s">
        <v>49</v>
      </c>
      <c r="X67" s="27" t="s">
        <v>49</v>
      </c>
      <c r="Y67" s="31" t="s">
        <v>49</v>
      </c>
      <c r="Z67" s="31"/>
      <c r="AA67" s="31" t="s">
        <v>49</v>
      </c>
      <c r="AB67" s="31"/>
      <c r="AC67" s="31" t="s">
        <v>49</v>
      </c>
      <c r="AD67" s="32">
        <v>0</v>
      </c>
      <c r="AE67" s="33">
        <f t="shared" si="6"/>
        <v>0</v>
      </c>
      <c r="AF67" s="34">
        <v>0</v>
      </c>
      <c r="AG67" s="33">
        <f t="shared" si="2"/>
        <v>0</v>
      </c>
      <c r="AH67" s="34">
        <v>0</v>
      </c>
      <c r="AI67" s="33">
        <f t="shared" si="3"/>
        <v>0</v>
      </c>
      <c r="AJ67" s="34" t="s">
        <v>49</v>
      </c>
      <c r="AK67" s="34">
        <v>0</v>
      </c>
      <c r="AL67" s="33">
        <f t="shared" si="4"/>
        <v>0</v>
      </c>
      <c r="AM67" s="35"/>
      <c r="AN67" s="34" t="s">
        <v>49</v>
      </c>
      <c r="AO67" s="34" t="s">
        <v>49</v>
      </c>
      <c r="AP67" s="34" t="s">
        <v>49</v>
      </c>
      <c r="AQ67" s="34" t="s">
        <v>49</v>
      </c>
      <c r="AR67" s="34" t="s">
        <v>49</v>
      </c>
      <c r="AS67" s="27" t="s">
        <v>183</v>
      </c>
      <c r="AT67" s="34" t="s">
        <v>49</v>
      </c>
      <c r="AU67" s="73" t="s">
        <v>366</v>
      </c>
      <c r="AV67" s="68"/>
    </row>
    <row r="68" spans="1:50" ht="37.5" x14ac:dyDescent="0.2">
      <c r="A68" s="23">
        <v>60</v>
      </c>
      <c r="B68" s="23" t="s">
        <v>52</v>
      </c>
      <c r="C68" s="24"/>
      <c r="D68" s="37"/>
      <c r="E68" s="26"/>
      <c r="F68" s="64" t="s">
        <v>130</v>
      </c>
      <c r="G68" s="57" t="s">
        <v>170</v>
      </c>
      <c r="H68" s="12"/>
      <c r="I68" s="12"/>
      <c r="J68" s="43">
        <v>1</v>
      </c>
      <c r="K68" s="27" t="s">
        <v>341</v>
      </c>
      <c r="L68" s="27"/>
      <c r="M68" s="27"/>
      <c r="N68" s="27"/>
      <c r="O68" s="27"/>
      <c r="P68" s="51">
        <v>1620900</v>
      </c>
      <c r="Q68" s="28">
        <f t="shared" si="0"/>
        <v>1620900</v>
      </c>
      <c r="R68" s="29" t="s">
        <v>50</v>
      </c>
      <c r="S68" s="28">
        <f t="shared" si="5"/>
        <v>-1620900</v>
      </c>
      <c r="T68" s="27" t="s">
        <v>49</v>
      </c>
      <c r="U68" s="27" t="s">
        <v>49</v>
      </c>
      <c r="V68" s="27" t="s">
        <v>49</v>
      </c>
      <c r="W68" s="27" t="s">
        <v>49</v>
      </c>
      <c r="X68" s="27" t="s">
        <v>49</v>
      </c>
      <c r="Y68" s="31" t="s">
        <v>49</v>
      </c>
      <c r="Z68" s="31"/>
      <c r="AA68" s="31" t="s">
        <v>49</v>
      </c>
      <c r="AB68" s="31"/>
      <c r="AC68" s="31" t="s">
        <v>49</v>
      </c>
      <c r="AD68" s="32">
        <v>0</v>
      </c>
      <c r="AE68" s="33">
        <f t="shared" si="6"/>
        <v>0</v>
      </c>
      <c r="AF68" s="34">
        <v>0</v>
      </c>
      <c r="AG68" s="33">
        <f t="shared" si="2"/>
        <v>0</v>
      </c>
      <c r="AH68" s="34">
        <v>0</v>
      </c>
      <c r="AI68" s="33">
        <f t="shared" si="3"/>
        <v>0</v>
      </c>
      <c r="AJ68" s="34" t="s">
        <v>49</v>
      </c>
      <c r="AK68" s="34">
        <v>0</v>
      </c>
      <c r="AL68" s="33">
        <f t="shared" si="4"/>
        <v>0</v>
      </c>
      <c r="AM68" s="35"/>
      <c r="AN68" s="34" t="s">
        <v>49</v>
      </c>
      <c r="AO68" s="34" t="s">
        <v>49</v>
      </c>
      <c r="AP68" s="34" t="s">
        <v>49</v>
      </c>
      <c r="AQ68" s="34" t="s">
        <v>49</v>
      </c>
      <c r="AR68" s="34" t="s">
        <v>49</v>
      </c>
      <c r="AS68" s="27" t="s">
        <v>183</v>
      </c>
      <c r="AT68" s="34" t="s">
        <v>49</v>
      </c>
      <c r="AU68" s="73" t="s">
        <v>366</v>
      </c>
      <c r="AV68" s="68"/>
    </row>
    <row r="69" spans="1:50" ht="37.5" x14ac:dyDescent="0.2">
      <c r="A69" s="23">
        <v>61</v>
      </c>
      <c r="B69" s="23" t="s">
        <v>52</v>
      </c>
      <c r="C69" s="24"/>
      <c r="D69" s="37"/>
      <c r="E69" s="26"/>
      <c r="F69" s="64" t="s">
        <v>131</v>
      </c>
      <c r="G69" s="57" t="s">
        <v>170</v>
      </c>
      <c r="H69" s="12"/>
      <c r="I69" s="12"/>
      <c r="J69" s="43">
        <v>1</v>
      </c>
      <c r="K69" s="27" t="s">
        <v>341</v>
      </c>
      <c r="L69" s="27"/>
      <c r="M69" s="27"/>
      <c r="N69" s="27"/>
      <c r="O69" s="27"/>
      <c r="P69" s="51">
        <v>1620900</v>
      </c>
      <c r="Q69" s="28">
        <f t="shared" si="0"/>
        <v>1620900</v>
      </c>
      <c r="R69" s="29" t="s">
        <v>50</v>
      </c>
      <c r="S69" s="28">
        <f t="shared" si="5"/>
        <v>-1620900</v>
      </c>
      <c r="T69" s="27" t="s">
        <v>49</v>
      </c>
      <c r="U69" s="27" t="s">
        <v>49</v>
      </c>
      <c r="V69" s="27" t="s">
        <v>49</v>
      </c>
      <c r="W69" s="27" t="s">
        <v>49</v>
      </c>
      <c r="X69" s="27" t="s">
        <v>49</v>
      </c>
      <c r="Y69" s="31" t="s">
        <v>49</v>
      </c>
      <c r="Z69" s="31"/>
      <c r="AA69" s="31" t="s">
        <v>49</v>
      </c>
      <c r="AB69" s="31"/>
      <c r="AC69" s="31" t="s">
        <v>49</v>
      </c>
      <c r="AD69" s="32">
        <v>0</v>
      </c>
      <c r="AE69" s="33">
        <f t="shared" si="6"/>
        <v>0</v>
      </c>
      <c r="AF69" s="34">
        <v>0</v>
      </c>
      <c r="AG69" s="33">
        <f t="shared" si="2"/>
        <v>0</v>
      </c>
      <c r="AH69" s="34">
        <v>0</v>
      </c>
      <c r="AI69" s="33">
        <f t="shared" si="3"/>
        <v>0</v>
      </c>
      <c r="AJ69" s="34" t="s">
        <v>49</v>
      </c>
      <c r="AK69" s="34">
        <v>0</v>
      </c>
      <c r="AL69" s="33">
        <f t="shared" si="4"/>
        <v>0</v>
      </c>
      <c r="AM69" s="35"/>
      <c r="AN69" s="34" t="s">
        <v>49</v>
      </c>
      <c r="AO69" s="34" t="s">
        <v>49</v>
      </c>
      <c r="AP69" s="34" t="s">
        <v>49</v>
      </c>
      <c r="AQ69" s="34" t="s">
        <v>49</v>
      </c>
      <c r="AR69" s="34" t="s">
        <v>49</v>
      </c>
      <c r="AS69" s="27" t="s">
        <v>183</v>
      </c>
      <c r="AT69" s="34" t="s">
        <v>49</v>
      </c>
      <c r="AU69" s="73" t="s">
        <v>366</v>
      </c>
      <c r="AV69" s="68"/>
    </row>
    <row r="70" spans="1:50" ht="56.25" x14ac:dyDescent="0.2">
      <c r="A70" s="23">
        <v>62</v>
      </c>
      <c r="B70" s="23" t="s">
        <v>52</v>
      </c>
      <c r="C70" s="24"/>
      <c r="D70" s="37"/>
      <c r="E70" s="26"/>
      <c r="F70" s="64" t="s">
        <v>132</v>
      </c>
      <c r="G70" s="57" t="s">
        <v>170</v>
      </c>
      <c r="H70" s="12"/>
      <c r="I70" s="12"/>
      <c r="J70" s="43">
        <v>1</v>
      </c>
      <c r="K70" s="27" t="s">
        <v>341</v>
      </c>
      <c r="L70" s="27"/>
      <c r="M70" s="27"/>
      <c r="N70" s="27"/>
      <c r="O70" s="27"/>
      <c r="P70" s="51">
        <v>1620900</v>
      </c>
      <c r="Q70" s="28">
        <f t="shared" si="0"/>
        <v>1620900</v>
      </c>
      <c r="R70" s="29" t="s">
        <v>50</v>
      </c>
      <c r="S70" s="28">
        <f t="shared" si="5"/>
        <v>-1620900</v>
      </c>
      <c r="T70" s="27" t="s">
        <v>49</v>
      </c>
      <c r="U70" s="27" t="s">
        <v>49</v>
      </c>
      <c r="V70" s="27" t="s">
        <v>49</v>
      </c>
      <c r="W70" s="27" t="s">
        <v>49</v>
      </c>
      <c r="X70" s="27" t="s">
        <v>49</v>
      </c>
      <c r="Y70" s="31" t="s">
        <v>49</v>
      </c>
      <c r="Z70" s="31"/>
      <c r="AA70" s="31" t="s">
        <v>49</v>
      </c>
      <c r="AB70" s="31"/>
      <c r="AC70" s="31" t="s">
        <v>49</v>
      </c>
      <c r="AD70" s="32">
        <v>0</v>
      </c>
      <c r="AE70" s="33">
        <f t="shared" si="6"/>
        <v>0</v>
      </c>
      <c r="AF70" s="34">
        <v>0</v>
      </c>
      <c r="AG70" s="33">
        <f t="shared" si="2"/>
        <v>0</v>
      </c>
      <c r="AH70" s="34">
        <v>0</v>
      </c>
      <c r="AI70" s="33">
        <f t="shared" si="3"/>
        <v>0</v>
      </c>
      <c r="AJ70" s="34" t="s">
        <v>49</v>
      </c>
      <c r="AK70" s="34">
        <v>0</v>
      </c>
      <c r="AL70" s="33">
        <f t="shared" si="4"/>
        <v>0</v>
      </c>
      <c r="AM70" s="35"/>
      <c r="AN70" s="34" t="s">
        <v>49</v>
      </c>
      <c r="AO70" s="34" t="s">
        <v>49</v>
      </c>
      <c r="AP70" s="34" t="s">
        <v>49</v>
      </c>
      <c r="AQ70" s="34" t="s">
        <v>49</v>
      </c>
      <c r="AR70" s="34" t="s">
        <v>49</v>
      </c>
      <c r="AS70" s="27" t="s">
        <v>183</v>
      </c>
      <c r="AT70" s="34" t="s">
        <v>49</v>
      </c>
      <c r="AU70" s="73" t="s">
        <v>366</v>
      </c>
      <c r="AV70" s="68"/>
    </row>
    <row r="71" spans="1:50" x14ac:dyDescent="0.2">
      <c r="A71" s="23">
        <v>63</v>
      </c>
      <c r="B71" s="23" t="s">
        <v>52</v>
      </c>
      <c r="C71" s="24"/>
      <c r="D71" s="37"/>
      <c r="E71" s="26"/>
      <c r="F71" s="64" t="s">
        <v>133</v>
      </c>
      <c r="G71" s="57" t="s">
        <v>170</v>
      </c>
      <c r="H71" s="12"/>
      <c r="I71" s="12"/>
      <c r="J71" s="43">
        <v>1</v>
      </c>
      <c r="K71" s="27" t="s">
        <v>341</v>
      </c>
      <c r="L71" s="27"/>
      <c r="M71" s="27"/>
      <c r="N71" s="27"/>
      <c r="O71" s="27"/>
      <c r="P71" s="51">
        <v>1620900</v>
      </c>
      <c r="Q71" s="28">
        <f t="shared" si="0"/>
        <v>1620900</v>
      </c>
      <c r="R71" s="29" t="s">
        <v>50</v>
      </c>
      <c r="S71" s="28">
        <f t="shared" si="5"/>
        <v>-1620900</v>
      </c>
      <c r="T71" s="27" t="s">
        <v>49</v>
      </c>
      <c r="U71" s="27" t="s">
        <v>49</v>
      </c>
      <c r="V71" s="27" t="s">
        <v>49</v>
      </c>
      <c r="W71" s="27" t="s">
        <v>49</v>
      </c>
      <c r="X71" s="27" t="s">
        <v>49</v>
      </c>
      <c r="Y71" s="31" t="s">
        <v>49</v>
      </c>
      <c r="Z71" s="31"/>
      <c r="AA71" s="31" t="s">
        <v>49</v>
      </c>
      <c r="AB71" s="31"/>
      <c r="AC71" s="31" t="s">
        <v>49</v>
      </c>
      <c r="AD71" s="32">
        <v>0</v>
      </c>
      <c r="AE71" s="33">
        <f t="shared" si="6"/>
        <v>0</v>
      </c>
      <c r="AF71" s="34">
        <v>0</v>
      </c>
      <c r="AG71" s="33">
        <f t="shared" si="2"/>
        <v>0</v>
      </c>
      <c r="AH71" s="34">
        <v>0</v>
      </c>
      <c r="AI71" s="33">
        <f t="shared" si="3"/>
        <v>0</v>
      </c>
      <c r="AJ71" s="34" t="s">
        <v>49</v>
      </c>
      <c r="AK71" s="34">
        <v>0</v>
      </c>
      <c r="AL71" s="33">
        <f t="shared" si="4"/>
        <v>0</v>
      </c>
      <c r="AM71" s="35"/>
      <c r="AN71" s="34" t="s">
        <v>49</v>
      </c>
      <c r="AO71" s="34" t="s">
        <v>49</v>
      </c>
      <c r="AP71" s="34" t="s">
        <v>49</v>
      </c>
      <c r="AQ71" s="34" t="s">
        <v>49</v>
      </c>
      <c r="AR71" s="34" t="s">
        <v>49</v>
      </c>
      <c r="AS71" s="27" t="s">
        <v>183</v>
      </c>
      <c r="AT71" s="34" t="s">
        <v>49</v>
      </c>
      <c r="AU71" s="73" t="s">
        <v>366</v>
      </c>
      <c r="AV71" s="68"/>
    </row>
    <row r="72" spans="1:50" ht="56.25" x14ac:dyDescent="0.2">
      <c r="A72" s="23">
        <v>64</v>
      </c>
      <c r="B72" s="23" t="s">
        <v>52</v>
      </c>
      <c r="C72" s="24"/>
      <c r="D72" s="37"/>
      <c r="E72" s="26"/>
      <c r="F72" s="64" t="s">
        <v>134</v>
      </c>
      <c r="G72" s="57" t="s">
        <v>171</v>
      </c>
      <c r="H72" s="12"/>
      <c r="I72" s="12"/>
      <c r="J72" s="43">
        <v>1</v>
      </c>
      <c r="K72" s="27" t="s">
        <v>341</v>
      </c>
      <c r="L72" s="27"/>
      <c r="M72" s="27"/>
      <c r="N72" s="27"/>
      <c r="O72" s="27"/>
      <c r="P72" s="51">
        <v>4410000</v>
      </c>
      <c r="Q72" s="28">
        <f t="shared" si="0"/>
        <v>4410000</v>
      </c>
      <c r="R72" s="29" t="s">
        <v>50</v>
      </c>
      <c r="S72" s="28">
        <f t="shared" si="5"/>
        <v>-4410000</v>
      </c>
      <c r="T72" s="27" t="s">
        <v>49</v>
      </c>
      <c r="U72" s="27" t="s">
        <v>49</v>
      </c>
      <c r="V72" s="27" t="s">
        <v>49</v>
      </c>
      <c r="W72" s="27" t="s">
        <v>49</v>
      </c>
      <c r="X72" s="27" t="s">
        <v>49</v>
      </c>
      <c r="Y72" s="31" t="s">
        <v>49</v>
      </c>
      <c r="Z72" s="31"/>
      <c r="AA72" s="31" t="s">
        <v>49</v>
      </c>
      <c r="AB72" s="31"/>
      <c r="AC72" s="31" t="s">
        <v>49</v>
      </c>
      <c r="AD72" s="32">
        <v>0</v>
      </c>
      <c r="AE72" s="33">
        <f t="shared" si="6"/>
        <v>0</v>
      </c>
      <c r="AF72" s="34">
        <v>0</v>
      </c>
      <c r="AG72" s="33">
        <f t="shared" si="2"/>
        <v>0</v>
      </c>
      <c r="AH72" s="34">
        <v>0</v>
      </c>
      <c r="AI72" s="33">
        <f t="shared" si="3"/>
        <v>0</v>
      </c>
      <c r="AJ72" s="34" t="s">
        <v>49</v>
      </c>
      <c r="AK72" s="34">
        <v>0</v>
      </c>
      <c r="AL72" s="33">
        <f t="shared" si="4"/>
        <v>0</v>
      </c>
      <c r="AM72" s="35"/>
      <c r="AN72" s="34" t="s">
        <v>49</v>
      </c>
      <c r="AO72" s="34" t="s">
        <v>49</v>
      </c>
      <c r="AP72" s="34" t="s">
        <v>49</v>
      </c>
      <c r="AQ72" s="34" t="s">
        <v>49</v>
      </c>
      <c r="AR72" s="34" t="s">
        <v>49</v>
      </c>
      <c r="AS72" s="27" t="s">
        <v>183</v>
      </c>
      <c r="AT72" s="34" t="s">
        <v>49</v>
      </c>
      <c r="AU72" s="73" t="s">
        <v>352</v>
      </c>
      <c r="AV72" s="68"/>
    </row>
    <row r="73" spans="1:50" ht="37.5" x14ac:dyDescent="0.2">
      <c r="A73" s="23">
        <v>65</v>
      </c>
      <c r="B73" s="23" t="s">
        <v>52</v>
      </c>
      <c r="C73" s="24"/>
      <c r="D73" s="37"/>
      <c r="E73" s="26"/>
      <c r="F73" s="64" t="s">
        <v>135</v>
      </c>
      <c r="G73" s="57" t="s">
        <v>161</v>
      </c>
      <c r="H73" s="12"/>
      <c r="I73" s="12"/>
      <c r="J73" s="43">
        <v>1</v>
      </c>
      <c r="K73" s="27" t="s">
        <v>341</v>
      </c>
      <c r="L73" s="27"/>
      <c r="M73" s="27"/>
      <c r="N73" s="27"/>
      <c r="O73" s="27"/>
      <c r="P73" s="51">
        <v>1852425</v>
      </c>
      <c r="Q73" s="28">
        <f t="shared" ref="Q73:Q136" si="7">J73*P73</f>
        <v>1852425</v>
      </c>
      <c r="R73" s="29" t="s">
        <v>50</v>
      </c>
      <c r="S73" s="28">
        <f t="shared" ref="S73:S136" si="8">E73-Q73</f>
        <v>-1852425</v>
      </c>
      <c r="T73" s="27" t="s">
        <v>49</v>
      </c>
      <c r="U73" s="27" t="s">
        <v>49</v>
      </c>
      <c r="V73" s="27" t="s">
        <v>49</v>
      </c>
      <c r="W73" s="27" t="s">
        <v>49</v>
      </c>
      <c r="X73" s="27" t="s">
        <v>49</v>
      </c>
      <c r="Y73" s="31" t="s">
        <v>49</v>
      </c>
      <c r="Z73" s="31"/>
      <c r="AA73" s="31" t="s">
        <v>49</v>
      </c>
      <c r="AB73" s="31"/>
      <c r="AC73" s="31" t="s">
        <v>49</v>
      </c>
      <c r="AD73" s="32">
        <v>0</v>
      </c>
      <c r="AE73" s="33">
        <f t="shared" si="6"/>
        <v>0</v>
      </c>
      <c r="AF73" s="34">
        <v>0</v>
      </c>
      <c r="AG73" s="33">
        <f t="shared" ref="AG73:AG136" si="9">C73*AF73</f>
        <v>0</v>
      </c>
      <c r="AH73" s="34">
        <v>0</v>
      </c>
      <c r="AI73" s="33">
        <f t="shared" ref="AI73:AI136" si="10">C73*AH73</f>
        <v>0</v>
      </c>
      <c r="AJ73" s="34" t="s">
        <v>49</v>
      </c>
      <c r="AK73" s="34">
        <v>0</v>
      </c>
      <c r="AL73" s="33">
        <f t="shared" ref="AL73:AL136" si="11">C73*AK73</f>
        <v>0</v>
      </c>
      <c r="AM73" s="35"/>
      <c r="AN73" s="34" t="s">
        <v>49</v>
      </c>
      <c r="AO73" s="34" t="s">
        <v>49</v>
      </c>
      <c r="AP73" s="34" t="s">
        <v>49</v>
      </c>
      <c r="AQ73" s="34" t="s">
        <v>49</v>
      </c>
      <c r="AR73" s="34" t="s">
        <v>49</v>
      </c>
      <c r="AS73" s="27" t="s">
        <v>183</v>
      </c>
      <c r="AT73" s="34" t="s">
        <v>49</v>
      </c>
      <c r="AU73" s="73" t="s">
        <v>353</v>
      </c>
      <c r="AV73" s="68"/>
    </row>
    <row r="74" spans="1:50" ht="56.25" x14ac:dyDescent="0.2">
      <c r="A74" s="23">
        <v>66</v>
      </c>
      <c r="B74" s="23" t="s">
        <v>52</v>
      </c>
      <c r="C74" s="24"/>
      <c r="D74" s="37"/>
      <c r="E74" s="26"/>
      <c r="F74" s="64" t="s">
        <v>136</v>
      </c>
      <c r="G74" s="100" t="s">
        <v>162</v>
      </c>
      <c r="H74" s="12"/>
      <c r="I74" s="12"/>
      <c r="J74" s="43">
        <v>1</v>
      </c>
      <c r="K74" s="27" t="s">
        <v>341</v>
      </c>
      <c r="L74" s="27"/>
      <c r="M74" s="27"/>
      <c r="N74" s="27"/>
      <c r="O74" s="27"/>
      <c r="P74" s="51">
        <v>1852425</v>
      </c>
      <c r="Q74" s="28">
        <f t="shared" si="7"/>
        <v>1852425</v>
      </c>
      <c r="R74" s="29" t="s">
        <v>50</v>
      </c>
      <c r="S74" s="28">
        <f t="shared" si="8"/>
        <v>-1852425</v>
      </c>
      <c r="T74" s="27" t="s">
        <v>49</v>
      </c>
      <c r="U74" s="27" t="s">
        <v>49</v>
      </c>
      <c r="V74" s="27" t="s">
        <v>49</v>
      </c>
      <c r="W74" s="27" t="s">
        <v>49</v>
      </c>
      <c r="X74" s="27" t="s">
        <v>49</v>
      </c>
      <c r="Y74" s="31" t="s">
        <v>49</v>
      </c>
      <c r="Z74" s="31"/>
      <c r="AA74" s="31" t="s">
        <v>49</v>
      </c>
      <c r="AB74" s="31"/>
      <c r="AC74" s="31" t="s">
        <v>49</v>
      </c>
      <c r="AD74" s="32">
        <v>0</v>
      </c>
      <c r="AE74" s="33">
        <f t="shared" si="6"/>
        <v>0</v>
      </c>
      <c r="AF74" s="34">
        <v>0</v>
      </c>
      <c r="AG74" s="33">
        <f t="shared" si="9"/>
        <v>0</v>
      </c>
      <c r="AH74" s="34">
        <v>0</v>
      </c>
      <c r="AI74" s="33">
        <f t="shared" si="10"/>
        <v>0</v>
      </c>
      <c r="AJ74" s="34" t="s">
        <v>49</v>
      </c>
      <c r="AK74" s="34">
        <v>0</v>
      </c>
      <c r="AL74" s="33">
        <f t="shared" si="11"/>
        <v>0</v>
      </c>
      <c r="AM74" s="35"/>
      <c r="AN74" s="34" t="s">
        <v>49</v>
      </c>
      <c r="AO74" s="34" t="s">
        <v>49</v>
      </c>
      <c r="AP74" s="34" t="s">
        <v>49</v>
      </c>
      <c r="AQ74" s="34" t="s">
        <v>49</v>
      </c>
      <c r="AR74" s="34" t="s">
        <v>49</v>
      </c>
      <c r="AS74" s="27" t="s">
        <v>183</v>
      </c>
      <c r="AT74" s="34" t="s">
        <v>49</v>
      </c>
      <c r="AU74" s="73" t="s">
        <v>354</v>
      </c>
      <c r="AV74" s="68"/>
    </row>
    <row r="75" spans="1:50" x14ac:dyDescent="0.2">
      <c r="A75" s="23">
        <v>67</v>
      </c>
      <c r="B75" s="23" t="s">
        <v>52</v>
      </c>
      <c r="C75" s="24"/>
      <c r="D75" s="37"/>
      <c r="E75" s="26"/>
      <c r="F75" s="64" t="s">
        <v>137</v>
      </c>
      <c r="G75" s="57"/>
      <c r="H75" s="12"/>
      <c r="I75" s="12"/>
      <c r="J75" s="43">
        <v>1</v>
      </c>
      <c r="K75" s="27" t="s">
        <v>341</v>
      </c>
      <c r="L75" s="27"/>
      <c r="M75" s="27"/>
      <c r="N75" s="27"/>
      <c r="O75" s="27"/>
      <c r="P75" s="51">
        <v>530100</v>
      </c>
      <c r="Q75" s="28">
        <f t="shared" si="7"/>
        <v>530100</v>
      </c>
      <c r="R75" s="29" t="s">
        <v>50</v>
      </c>
      <c r="S75" s="28">
        <f t="shared" si="8"/>
        <v>-530100</v>
      </c>
      <c r="T75" s="27" t="s">
        <v>49</v>
      </c>
      <c r="U75" s="27" t="s">
        <v>49</v>
      </c>
      <c r="V75" s="27" t="s">
        <v>49</v>
      </c>
      <c r="W75" s="27" t="s">
        <v>49</v>
      </c>
      <c r="X75" s="27" t="s">
        <v>49</v>
      </c>
      <c r="Y75" s="31" t="s">
        <v>49</v>
      </c>
      <c r="Z75" s="31"/>
      <c r="AA75" s="31" t="s">
        <v>49</v>
      </c>
      <c r="AB75" s="31"/>
      <c r="AC75" s="31" t="s">
        <v>49</v>
      </c>
      <c r="AD75" s="32">
        <v>0</v>
      </c>
      <c r="AE75" s="33">
        <f t="shared" si="6"/>
        <v>0</v>
      </c>
      <c r="AF75" s="34">
        <v>0</v>
      </c>
      <c r="AG75" s="33">
        <f t="shared" si="9"/>
        <v>0</v>
      </c>
      <c r="AH75" s="34">
        <v>0</v>
      </c>
      <c r="AI75" s="33">
        <f t="shared" si="10"/>
        <v>0</v>
      </c>
      <c r="AJ75" s="34" t="s">
        <v>49</v>
      </c>
      <c r="AK75" s="34">
        <v>0</v>
      </c>
      <c r="AL75" s="33">
        <f t="shared" si="11"/>
        <v>0</v>
      </c>
      <c r="AM75" s="35"/>
      <c r="AN75" s="34" t="s">
        <v>49</v>
      </c>
      <c r="AO75" s="34" t="s">
        <v>49</v>
      </c>
      <c r="AP75" s="34" t="s">
        <v>49</v>
      </c>
      <c r="AQ75" s="34" t="s">
        <v>49</v>
      </c>
      <c r="AR75" s="34" t="s">
        <v>49</v>
      </c>
      <c r="AS75" s="27" t="s">
        <v>183</v>
      </c>
      <c r="AT75" s="34" t="s">
        <v>49</v>
      </c>
      <c r="AU75" s="73" t="s">
        <v>358</v>
      </c>
      <c r="AV75" s="68"/>
    </row>
    <row r="76" spans="1:50" ht="93.75" x14ac:dyDescent="0.2">
      <c r="A76" s="23">
        <v>68</v>
      </c>
      <c r="B76" s="23" t="s">
        <v>52</v>
      </c>
      <c r="C76" s="24"/>
      <c r="D76" s="37"/>
      <c r="E76" s="26"/>
      <c r="F76" s="64" t="s">
        <v>138</v>
      </c>
      <c r="G76" s="57" t="s">
        <v>373</v>
      </c>
      <c r="H76" s="12"/>
      <c r="I76" s="12"/>
      <c r="J76" s="43">
        <v>2</v>
      </c>
      <c r="K76" s="27" t="s">
        <v>341</v>
      </c>
      <c r="L76" s="27"/>
      <c r="M76" s="27"/>
      <c r="N76" s="27"/>
      <c r="O76" s="27"/>
      <c r="P76" s="51">
        <v>225000</v>
      </c>
      <c r="Q76" s="28">
        <f t="shared" si="7"/>
        <v>450000</v>
      </c>
      <c r="R76" s="29" t="s">
        <v>50</v>
      </c>
      <c r="S76" s="28">
        <f t="shared" si="8"/>
        <v>-450000</v>
      </c>
      <c r="T76" s="27" t="s">
        <v>49</v>
      </c>
      <c r="U76" s="27" t="s">
        <v>49</v>
      </c>
      <c r="V76" s="27" t="s">
        <v>49</v>
      </c>
      <c r="W76" s="27" t="s">
        <v>49</v>
      </c>
      <c r="X76" s="27" t="s">
        <v>49</v>
      </c>
      <c r="Y76" s="31" t="s">
        <v>49</v>
      </c>
      <c r="Z76" s="31"/>
      <c r="AA76" s="31" t="s">
        <v>49</v>
      </c>
      <c r="AB76" s="31"/>
      <c r="AC76" s="31" t="s">
        <v>49</v>
      </c>
      <c r="AD76" s="32">
        <v>0</v>
      </c>
      <c r="AE76" s="33">
        <f t="shared" si="6"/>
        <v>0</v>
      </c>
      <c r="AF76" s="34">
        <v>0</v>
      </c>
      <c r="AG76" s="33">
        <f t="shared" si="9"/>
        <v>0</v>
      </c>
      <c r="AH76" s="34">
        <v>0</v>
      </c>
      <c r="AI76" s="33">
        <f t="shared" si="10"/>
        <v>0</v>
      </c>
      <c r="AJ76" s="34" t="s">
        <v>49</v>
      </c>
      <c r="AK76" s="34">
        <v>0</v>
      </c>
      <c r="AL76" s="33">
        <f t="shared" si="11"/>
        <v>0</v>
      </c>
      <c r="AM76" s="35"/>
      <c r="AN76" s="34" t="s">
        <v>49</v>
      </c>
      <c r="AO76" s="34" t="s">
        <v>49</v>
      </c>
      <c r="AP76" s="34" t="s">
        <v>49</v>
      </c>
      <c r="AQ76" s="34" t="s">
        <v>49</v>
      </c>
      <c r="AR76" s="34" t="s">
        <v>49</v>
      </c>
      <c r="AS76" s="27" t="s">
        <v>183</v>
      </c>
      <c r="AT76" s="34" t="s">
        <v>49</v>
      </c>
      <c r="AU76" s="73" t="s">
        <v>358</v>
      </c>
      <c r="AV76" s="68"/>
      <c r="AW76" s="1" t="s">
        <v>400</v>
      </c>
      <c r="AX76" s="79" t="s">
        <v>389</v>
      </c>
    </row>
    <row r="77" spans="1:50" ht="56.25" x14ac:dyDescent="0.2">
      <c r="A77" s="23">
        <v>69</v>
      </c>
      <c r="B77" s="23" t="s">
        <v>52</v>
      </c>
      <c r="C77" s="24"/>
      <c r="D77" s="37"/>
      <c r="E77" s="26"/>
      <c r="F77" s="64" t="s">
        <v>139</v>
      </c>
      <c r="G77" s="57" t="s">
        <v>172</v>
      </c>
      <c r="H77" s="12"/>
      <c r="I77" s="12"/>
      <c r="J77" s="43">
        <v>1</v>
      </c>
      <c r="K77" s="27" t="s">
        <v>341</v>
      </c>
      <c r="L77" s="27"/>
      <c r="M77" s="27"/>
      <c r="N77" s="27"/>
      <c r="O77" s="27"/>
      <c r="P77" s="51">
        <v>20250000</v>
      </c>
      <c r="Q77" s="28">
        <f t="shared" si="7"/>
        <v>20250000</v>
      </c>
      <c r="R77" s="29" t="s">
        <v>50</v>
      </c>
      <c r="S77" s="28">
        <f t="shared" si="8"/>
        <v>-20250000</v>
      </c>
      <c r="T77" s="27" t="s">
        <v>49</v>
      </c>
      <c r="U77" s="27" t="s">
        <v>49</v>
      </c>
      <c r="V77" s="27" t="s">
        <v>49</v>
      </c>
      <c r="W77" s="27" t="s">
        <v>49</v>
      </c>
      <c r="X77" s="27" t="s">
        <v>49</v>
      </c>
      <c r="Y77" s="31" t="s">
        <v>49</v>
      </c>
      <c r="Z77" s="31"/>
      <c r="AA77" s="31" t="s">
        <v>49</v>
      </c>
      <c r="AB77" s="31"/>
      <c r="AC77" s="31" t="s">
        <v>49</v>
      </c>
      <c r="AD77" s="32">
        <v>0</v>
      </c>
      <c r="AE77" s="33">
        <f t="shared" si="6"/>
        <v>0</v>
      </c>
      <c r="AF77" s="34">
        <v>0</v>
      </c>
      <c r="AG77" s="33">
        <f t="shared" si="9"/>
        <v>0</v>
      </c>
      <c r="AH77" s="34">
        <v>0</v>
      </c>
      <c r="AI77" s="33">
        <f t="shared" si="10"/>
        <v>0</v>
      </c>
      <c r="AJ77" s="34" t="s">
        <v>49</v>
      </c>
      <c r="AK77" s="34">
        <v>0</v>
      </c>
      <c r="AL77" s="33">
        <f t="shared" si="11"/>
        <v>0</v>
      </c>
      <c r="AM77" s="35"/>
      <c r="AN77" s="34" t="s">
        <v>49</v>
      </c>
      <c r="AO77" s="34" t="s">
        <v>49</v>
      </c>
      <c r="AP77" s="34" t="s">
        <v>49</v>
      </c>
      <c r="AQ77" s="34" t="s">
        <v>49</v>
      </c>
      <c r="AR77" s="34" t="s">
        <v>49</v>
      </c>
      <c r="AS77" s="27" t="s">
        <v>183</v>
      </c>
      <c r="AT77" s="34" t="s">
        <v>49</v>
      </c>
      <c r="AU77" s="73" t="s">
        <v>365</v>
      </c>
      <c r="AV77" s="68" t="s">
        <v>379</v>
      </c>
      <c r="AW77" s="80" t="s">
        <v>393</v>
      </c>
    </row>
    <row r="78" spans="1:50" ht="93.75" x14ac:dyDescent="0.2">
      <c r="A78" s="23">
        <v>70</v>
      </c>
      <c r="B78" s="23" t="s">
        <v>52</v>
      </c>
      <c r="C78" s="24"/>
      <c r="D78" s="37"/>
      <c r="E78" s="26"/>
      <c r="F78" s="64" t="s">
        <v>140</v>
      </c>
      <c r="G78" s="57" t="s">
        <v>173</v>
      </c>
      <c r="H78" s="12"/>
      <c r="I78" s="12"/>
      <c r="J78" s="43">
        <v>1</v>
      </c>
      <c r="K78" s="27" t="s">
        <v>341</v>
      </c>
      <c r="L78" s="27"/>
      <c r="M78" s="27"/>
      <c r="N78" s="27"/>
      <c r="O78" s="27"/>
      <c r="P78" s="51">
        <v>9171000</v>
      </c>
      <c r="Q78" s="28">
        <f t="shared" si="7"/>
        <v>9171000</v>
      </c>
      <c r="R78" s="29" t="s">
        <v>50</v>
      </c>
      <c r="S78" s="28">
        <f t="shared" si="8"/>
        <v>-9171000</v>
      </c>
      <c r="T78" s="27" t="s">
        <v>49</v>
      </c>
      <c r="U78" s="27" t="s">
        <v>49</v>
      </c>
      <c r="V78" s="27" t="s">
        <v>49</v>
      </c>
      <c r="W78" s="27" t="s">
        <v>49</v>
      </c>
      <c r="X78" s="27" t="s">
        <v>49</v>
      </c>
      <c r="Y78" s="31" t="s">
        <v>49</v>
      </c>
      <c r="Z78" s="31"/>
      <c r="AA78" s="31" t="s">
        <v>49</v>
      </c>
      <c r="AB78" s="31"/>
      <c r="AC78" s="31" t="s">
        <v>49</v>
      </c>
      <c r="AD78" s="32">
        <v>0</v>
      </c>
      <c r="AE78" s="33">
        <f t="shared" si="6"/>
        <v>0</v>
      </c>
      <c r="AF78" s="34">
        <v>0</v>
      </c>
      <c r="AG78" s="33">
        <f t="shared" si="9"/>
        <v>0</v>
      </c>
      <c r="AH78" s="34">
        <v>0</v>
      </c>
      <c r="AI78" s="33">
        <f t="shared" si="10"/>
        <v>0</v>
      </c>
      <c r="AJ78" s="34" t="s">
        <v>49</v>
      </c>
      <c r="AK78" s="34">
        <v>0</v>
      </c>
      <c r="AL78" s="33">
        <f t="shared" si="11"/>
        <v>0</v>
      </c>
      <c r="AM78" s="35"/>
      <c r="AN78" s="34" t="s">
        <v>49</v>
      </c>
      <c r="AO78" s="34" t="s">
        <v>49</v>
      </c>
      <c r="AP78" s="34" t="s">
        <v>49</v>
      </c>
      <c r="AQ78" s="34" t="s">
        <v>49</v>
      </c>
      <c r="AR78" s="34" t="s">
        <v>49</v>
      </c>
      <c r="AS78" s="27" t="s">
        <v>183</v>
      </c>
      <c r="AT78" s="34" t="s">
        <v>49</v>
      </c>
      <c r="AU78" s="73" t="s">
        <v>356</v>
      </c>
      <c r="AV78" s="68" t="s">
        <v>383</v>
      </c>
      <c r="AW78" s="1" t="s">
        <v>400</v>
      </c>
      <c r="AX78" s="1" t="s">
        <v>399</v>
      </c>
    </row>
    <row r="79" spans="1:50" ht="56.25" x14ac:dyDescent="0.2">
      <c r="A79" s="23">
        <v>71</v>
      </c>
      <c r="B79" s="23" t="s">
        <v>52</v>
      </c>
      <c r="C79" s="24"/>
      <c r="D79" s="37"/>
      <c r="E79" s="26"/>
      <c r="F79" s="64" t="s">
        <v>141</v>
      </c>
      <c r="G79" s="57" t="s">
        <v>174</v>
      </c>
      <c r="H79" s="12"/>
      <c r="I79" s="12"/>
      <c r="J79" s="43">
        <v>1</v>
      </c>
      <c r="K79" s="27" t="s">
        <v>341</v>
      </c>
      <c r="L79" s="27"/>
      <c r="M79" s="27"/>
      <c r="N79" s="27"/>
      <c r="O79" s="27"/>
      <c r="P79" s="51">
        <v>20700000</v>
      </c>
      <c r="Q79" s="28">
        <f t="shared" si="7"/>
        <v>20700000</v>
      </c>
      <c r="R79" s="29" t="s">
        <v>50</v>
      </c>
      <c r="S79" s="28">
        <f t="shared" si="8"/>
        <v>-20700000</v>
      </c>
      <c r="T79" s="27" t="s">
        <v>49</v>
      </c>
      <c r="U79" s="27" t="s">
        <v>49</v>
      </c>
      <c r="V79" s="27" t="s">
        <v>49</v>
      </c>
      <c r="W79" s="27" t="s">
        <v>49</v>
      </c>
      <c r="X79" s="27" t="s">
        <v>49</v>
      </c>
      <c r="Y79" s="31" t="s">
        <v>49</v>
      </c>
      <c r="Z79" s="31"/>
      <c r="AA79" s="31" t="s">
        <v>49</v>
      </c>
      <c r="AB79" s="31"/>
      <c r="AC79" s="31" t="s">
        <v>49</v>
      </c>
      <c r="AD79" s="32">
        <v>0</v>
      </c>
      <c r="AE79" s="33">
        <f t="shared" si="6"/>
        <v>0</v>
      </c>
      <c r="AF79" s="34">
        <v>0</v>
      </c>
      <c r="AG79" s="33">
        <f t="shared" si="9"/>
        <v>0</v>
      </c>
      <c r="AH79" s="34">
        <v>0</v>
      </c>
      <c r="AI79" s="33">
        <f t="shared" si="10"/>
        <v>0</v>
      </c>
      <c r="AJ79" s="34" t="s">
        <v>49</v>
      </c>
      <c r="AK79" s="34">
        <v>0</v>
      </c>
      <c r="AL79" s="33">
        <f t="shared" si="11"/>
        <v>0</v>
      </c>
      <c r="AM79" s="35"/>
      <c r="AN79" s="34" t="s">
        <v>49</v>
      </c>
      <c r="AO79" s="34" t="s">
        <v>49</v>
      </c>
      <c r="AP79" s="34" t="s">
        <v>49</v>
      </c>
      <c r="AQ79" s="34" t="s">
        <v>49</v>
      </c>
      <c r="AR79" s="34" t="s">
        <v>49</v>
      </c>
      <c r="AS79" s="27" t="s">
        <v>183</v>
      </c>
      <c r="AT79" s="34" t="s">
        <v>49</v>
      </c>
      <c r="AU79" s="73" t="s">
        <v>355</v>
      </c>
      <c r="AV79" s="68" t="s">
        <v>379</v>
      </c>
      <c r="AW79" s="80" t="s">
        <v>393</v>
      </c>
    </row>
    <row r="80" spans="1:50" ht="37.5" x14ac:dyDescent="0.2">
      <c r="A80" s="23">
        <v>72</v>
      </c>
      <c r="B80" s="23" t="s">
        <v>52</v>
      </c>
      <c r="C80" s="24"/>
      <c r="D80" s="37"/>
      <c r="E80" s="26"/>
      <c r="F80" s="64" t="s">
        <v>142</v>
      </c>
      <c r="G80" s="57" t="s">
        <v>99</v>
      </c>
      <c r="H80" s="12"/>
      <c r="I80" s="12"/>
      <c r="J80" s="43">
        <v>1</v>
      </c>
      <c r="K80" s="27" t="s">
        <v>341</v>
      </c>
      <c r="L80" s="27"/>
      <c r="M80" s="27"/>
      <c r="N80" s="27"/>
      <c r="O80" s="27"/>
      <c r="P80" s="51">
        <v>8784000</v>
      </c>
      <c r="Q80" s="28">
        <f t="shared" si="7"/>
        <v>8784000</v>
      </c>
      <c r="R80" s="29" t="s">
        <v>50</v>
      </c>
      <c r="S80" s="28">
        <f t="shared" si="8"/>
        <v>-8784000</v>
      </c>
      <c r="T80" s="27" t="s">
        <v>49</v>
      </c>
      <c r="U80" s="27" t="s">
        <v>49</v>
      </c>
      <c r="V80" s="27" t="s">
        <v>49</v>
      </c>
      <c r="W80" s="27" t="s">
        <v>49</v>
      </c>
      <c r="X80" s="27" t="s">
        <v>49</v>
      </c>
      <c r="Y80" s="31" t="s">
        <v>49</v>
      </c>
      <c r="Z80" s="31"/>
      <c r="AA80" s="31" t="s">
        <v>49</v>
      </c>
      <c r="AB80" s="31"/>
      <c r="AC80" s="31" t="s">
        <v>49</v>
      </c>
      <c r="AD80" s="32">
        <v>0</v>
      </c>
      <c r="AE80" s="33">
        <f t="shared" si="6"/>
        <v>0</v>
      </c>
      <c r="AF80" s="34">
        <v>0</v>
      </c>
      <c r="AG80" s="33">
        <f t="shared" si="9"/>
        <v>0</v>
      </c>
      <c r="AH80" s="34">
        <v>0</v>
      </c>
      <c r="AI80" s="33">
        <f t="shared" si="10"/>
        <v>0</v>
      </c>
      <c r="AJ80" s="34" t="s">
        <v>49</v>
      </c>
      <c r="AK80" s="34">
        <v>0</v>
      </c>
      <c r="AL80" s="33">
        <f t="shared" si="11"/>
        <v>0</v>
      </c>
      <c r="AM80" s="35"/>
      <c r="AN80" s="34" t="s">
        <v>49</v>
      </c>
      <c r="AO80" s="34" t="s">
        <v>49</v>
      </c>
      <c r="AP80" s="34" t="s">
        <v>49</v>
      </c>
      <c r="AQ80" s="34" t="s">
        <v>49</v>
      </c>
      <c r="AR80" s="34" t="s">
        <v>49</v>
      </c>
      <c r="AS80" s="27" t="s">
        <v>183</v>
      </c>
      <c r="AT80" s="34" t="s">
        <v>49</v>
      </c>
      <c r="AU80" s="73" t="s">
        <v>366</v>
      </c>
      <c r="AV80" s="68" t="s">
        <v>379</v>
      </c>
      <c r="AW80" s="80" t="s">
        <v>393</v>
      </c>
    </row>
    <row r="81" spans="1:53" ht="37.5" x14ac:dyDescent="0.2">
      <c r="A81" s="23">
        <v>73</v>
      </c>
      <c r="B81" s="23" t="s">
        <v>52</v>
      </c>
      <c r="C81" s="24"/>
      <c r="D81" s="37"/>
      <c r="E81" s="26"/>
      <c r="F81" s="64" t="s">
        <v>143</v>
      </c>
      <c r="G81" s="57" t="s">
        <v>175</v>
      </c>
      <c r="H81" s="12"/>
      <c r="I81" s="12"/>
      <c r="J81" s="43">
        <v>1</v>
      </c>
      <c r="K81" s="27" t="s">
        <v>341</v>
      </c>
      <c r="L81" s="27"/>
      <c r="M81" s="27"/>
      <c r="N81" s="27"/>
      <c r="O81" s="27"/>
      <c r="P81" s="51">
        <v>30708000</v>
      </c>
      <c r="Q81" s="28">
        <f t="shared" si="7"/>
        <v>30708000</v>
      </c>
      <c r="R81" s="29" t="s">
        <v>50</v>
      </c>
      <c r="S81" s="28">
        <f t="shared" si="8"/>
        <v>-30708000</v>
      </c>
      <c r="T81" s="27" t="s">
        <v>49</v>
      </c>
      <c r="U81" s="27" t="s">
        <v>49</v>
      </c>
      <c r="V81" s="27" t="s">
        <v>49</v>
      </c>
      <c r="W81" s="27" t="s">
        <v>49</v>
      </c>
      <c r="X81" s="27" t="s">
        <v>49</v>
      </c>
      <c r="Y81" s="31" t="s">
        <v>49</v>
      </c>
      <c r="Z81" s="31"/>
      <c r="AA81" s="31" t="s">
        <v>49</v>
      </c>
      <c r="AB81" s="31"/>
      <c r="AC81" s="31" t="s">
        <v>49</v>
      </c>
      <c r="AD81" s="32">
        <v>0</v>
      </c>
      <c r="AE81" s="33">
        <f t="shared" si="6"/>
        <v>0</v>
      </c>
      <c r="AF81" s="34">
        <v>0</v>
      </c>
      <c r="AG81" s="33">
        <f t="shared" si="9"/>
        <v>0</v>
      </c>
      <c r="AH81" s="34">
        <v>0</v>
      </c>
      <c r="AI81" s="33">
        <f t="shared" si="10"/>
        <v>0</v>
      </c>
      <c r="AJ81" s="34" t="s">
        <v>49</v>
      </c>
      <c r="AK81" s="34">
        <v>0</v>
      </c>
      <c r="AL81" s="33">
        <f t="shared" si="11"/>
        <v>0</v>
      </c>
      <c r="AM81" s="35"/>
      <c r="AN81" s="34" t="s">
        <v>49</v>
      </c>
      <c r="AO81" s="34" t="s">
        <v>49</v>
      </c>
      <c r="AP81" s="34" t="s">
        <v>49</v>
      </c>
      <c r="AQ81" s="34" t="s">
        <v>49</v>
      </c>
      <c r="AR81" s="34" t="s">
        <v>49</v>
      </c>
      <c r="AS81" s="27" t="s">
        <v>183</v>
      </c>
      <c r="AT81" s="34" t="s">
        <v>49</v>
      </c>
      <c r="AU81" s="73" t="s">
        <v>362</v>
      </c>
      <c r="AV81" s="68" t="s">
        <v>379</v>
      </c>
      <c r="AW81" s="80" t="s">
        <v>393</v>
      </c>
    </row>
    <row r="82" spans="1:53" ht="112.5" x14ac:dyDescent="0.2">
      <c r="A82" s="23">
        <v>74</v>
      </c>
      <c r="B82" s="23" t="s">
        <v>52</v>
      </c>
      <c r="C82" s="24"/>
      <c r="D82" s="37"/>
      <c r="E82" s="26"/>
      <c r="F82" s="64" t="s">
        <v>144</v>
      </c>
      <c r="G82" s="57" t="s">
        <v>155</v>
      </c>
      <c r="H82" s="12"/>
      <c r="I82" s="12"/>
      <c r="J82" s="43">
        <v>1</v>
      </c>
      <c r="K82" s="27" t="s">
        <v>341</v>
      </c>
      <c r="L82" s="27"/>
      <c r="M82" s="27"/>
      <c r="N82" s="27"/>
      <c r="O82" s="27"/>
      <c r="P82" s="51">
        <v>589500</v>
      </c>
      <c r="Q82" s="28">
        <f t="shared" si="7"/>
        <v>589500</v>
      </c>
      <c r="R82" s="29" t="s">
        <v>50</v>
      </c>
      <c r="S82" s="28">
        <f t="shared" si="8"/>
        <v>-589500</v>
      </c>
      <c r="T82" s="27" t="s">
        <v>49</v>
      </c>
      <c r="U82" s="27" t="s">
        <v>49</v>
      </c>
      <c r="V82" s="27" t="s">
        <v>49</v>
      </c>
      <c r="W82" s="27" t="s">
        <v>49</v>
      </c>
      <c r="X82" s="27" t="s">
        <v>49</v>
      </c>
      <c r="Y82" s="31" t="s">
        <v>49</v>
      </c>
      <c r="Z82" s="31"/>
      <c r="AA82" s="31" t="s">
        <v>49</v>
      </c>
      <c r="AB82" s="31"/>
      <c r="AC82" s="31" t="s">
        <v>49</v>
      </c>
      <c r="AD82" s="32">
        <v>0</v>
      </c>
      <c r="AE82" s="33">
        <f t="shared" si="6"/>
        <v>0</v>
      </c>
      <c r="AF82" s="34">
        <v>0</v>
      </c>
      <c r="AG82" s="33">
        <f t="shared" si="9"/>
        <v>0</v>
      </c>
      <c r="AH82" s="34">
        <v>0</v>
      </c>
      <c r="AI82" s="33">
        <f t="shared" si="10"/>
        <v>0</v>
      </c>
      <c r="AJ82" s="34" t="s">
        <v>49</v>
      </c>
      <c r="AK82" s="34">
        <v>0</v>
      </c>
      <c r="AL82" s="33">
        <f t="shared" si="11"/>
        <v>0</v>
      </c>
      <c r="AM82" s="35"/>
      <c r="AN82" s="34" t="s">
        <v>49</v>
      </c>
      <c r="AO82" s="34" t="s">
        <v>49</v>
      </c>
      <c r="AP82" s="34" t="s">
        <v>49</v>
      </c>
      <c r="AQ82" s="34" t="s">
        <v>49</v>
      </c>
      <c r="AR82" s="34" t="s">
        <v>49</v>
      </c>
      <c r="AS82" s="27" t="s">
        <v>183</v>
      </c>
      <c r="AT82" s="34" t="s">
        <v>49</v>
      </c>
      <c r="AU82" s="73" t="s">
        <v>358</v>
      </c>
      <c r="AV82" s="68" t="s">
        <v>384</v>
      </c>
      <c r="AW82" s="80" t="s">
        <v>394</v>
      </c>
      <c r="AX82" s="80" t="s">
        <v>397</v>
      </c>
    </row>
    <row r="83" spans="1:53" ht="112.5" x14ac:dyDescent="0.2">
      <c r="A83" s="23">
        <v>75</v>
      </c>
      <c r="B83" s="23" t="s">
        <v>52</v>
      </c>
      <c r="C83" s="24"/>
      <c r="D83" s="37"/>
      <c r="E83" s="26"/>
      <c r="F83" s="64" t="s">
        <v>145</v>
      </c>
      <c r="G83" s="57" t="s">
        <v>176</v>
      </c>
      <c r="H83" s="12"/>
      <c r="I83" s="12"/>
      <c r="J83" s="43">
        <v>2</v>
      </c>
      <c r="K83" s="27" t="s">
        <v>341</v>
      </c>
      <c r="L83" s="27"/>
      <c r="M83" s="27"/>
      <c r="N83" s="27"/>
      <c r="O83" s="27"/>
      <c r="P83" s="51">
        <v>175500</v>
      </c>
      <c r="Q83" s="28">
        <f t="shared" si="7"/>
        <v>351000</v>
      </c>
      <c r="R83" s="29" t="s">
        <v>50</v>
      </c>
      <c r="S83" s="28">
        <f t="shared" si="8"/>
        <v>-351000</v>
      </c>
      <c r="T83" s="27" t="s">
        <v>49</v>
      </c>
      <c r="U83" s="27" t="s">
        <v>49</v>
      </c>
      <c r="V83" s="27" t="s">
        <v>49</v>
      </c>
      <c r="W83" s="27" t="s">
        <v>49</v>
      </c>
      <c r="X83" s="27" t="s">
        <v>49</v>
      </c>
      <c r="Y83" s="31" t="s">
        <v>49</v>
      </c>
      <c r="Z83" s="31"/>
      <c r="AA83" s="31" t="s">
        <v>49</v>
      </c>
      <c r="AB83" s="31"/>
      <c r="AC83" s="31" t="s">
        <v>49</v>
      </c>
      <c r="AD83" s="32">
        <v>0</v>
      </c>
      <c r="AE83" s="33">
        <f t="shared" si="6"/>
        <v>0</v>
      </c>
      <c r="AF83" s="34">
        <v>0</v>
      </c>
      <c r="AG83" s="33">
        <f t="shared" si="9"/>
        <v>0</v>
      </c>
      <c r="AH83" s="34">
        <v>0</v>
      </c>
      <c r="AI83" s="33">
        <f t="shared" si="10"/>
        <v>0</v>
      </c>
      <c r="AJ83" s="34" t="s">
        <v>49</v>
      </c>
      <c r="AK83" s="34">
        <v>0</v>
      </c>
      <c r="AL83" s="33">
        <f t="shared" si="11"/>
        <v>0</v>
      </c>
      <c r="AM83" s="35"/>
      <c r="AN83" s="34" t="s">
        <v>49</v>
      </c>
      <c r="AO83" s="34" t="s">
        <v>49</v>
      </c>
      <c r="AP83" s="34" t="s">
        <v>49</v>
      </c>
      <c r="AQ83" s="34" t="s">
        <v>49</v>
      </c>
      <c r="AR83" s="34" t="s">
        <v>49</v>
      </c>
      <c r="AS83" s="27" t="s">
        <v>183</v>
      </c>
      <c r="AT83" s="34" t="s">
        <v>49</v>
      </c>
      <c r="AU83" s="73" t="s">
        <v>358</v>
      </c>
      <c r="AV83" s="68" t="s">
        <v>385</v>
      </c>
      <c r="AW83" s="1" t="s">
        <v>400</v>
      </c>
      <c r="AX83" s="1" t="s">
        <v>399</v>
      </c>
      <c r="AY83" s="5" t="s">
        <v>413</v>
      </c>
    </row>
    <row r="84" spans="1:53" ht="75" x14ac:dyDescent="0.2">
      <c r="A84" s="23">
        <v>76</v>
      </c>
      <c r="B84" s="23" t="s">
        <v>52</v>
      </c>
      <c r="C84" s="24"/>
      <c r="D84" s="37"/>
      <c r="E84" s="26"/>
      <c r="F84" s="64" t="s">
        <v>146</v>
      </c>
      <c r="G84" s="57" t="s">
        <v>177</v>
      </c>
      <c r="H84" s="12"/>
      <c r="I84" s="12"/>
      <c r="J84" s="43">
        <v>1</v>
      </c>
      <c r="K84" s="27" t="s">
        <v>341</v>
      </c>
      <c r="L84" s="27"/>
      <c r="M84" s="27"/>
      <c r="N84" s="27"/>
      <c r="O84" s="27"/>
      <c r="P84" s="51">
        <v>2758500</v>
      </c>
      <c r="Q84" s="28">
        <f t="shared" si="7"/>
        <v>2758500</v>
      </c>
      <c r="R84" s="29" t="s">
        <v>50</v>
      </c>
      <c r="S84" s="28">
        <f t="shared" si="8"/>
        <v>-2758500</v>
      </c>
      <c r="T84" s="27" t="s">
        <v>49</v>
      </c>
      <c r="U84" s="27" t="s">
        <v>49</v>
      </c>
      <c r="V84" s="27" t="s">
        <v>49</v>
      </c>
      <c r="W84" s="27" t="s">
        <v>49</v>
      </c>
      <c r="X84" s="27" t="s">
        <v>49</v>
      </c>
      <c r="Y84" s="31" t="s">
        <v>49</v>
      </c>
      <c r="Z84" s="31"/>
      <c r="AA84" s="31" t="s">
        <v>49</v>
      </c>
      <c r="AB84" s="31"/>
      <c r="AC84" s="31" t="s">
        <v>49</v>
      </c>
      <c r="AD84" s="32">
        <v>0</v>
      </c>
      <c r="AE84" s="33">
        <f t="shared" si="6"/>
        <v>0</v>
      </c>
      <c r="AF84" s="34">
        <v>0</v>
      </c>
      <c r="AG84" s="33">
        <f t="shared" si="9"/>
        <v>0</v>
      </c>
      <c r="AH84" s="34">
        <v>0</v>
      </c>
      <c r="AI84" s="33">
        <f t="shared" si="10"/>
        <v>0</v>
      </c>
      <c r="AJ84" s="34" t="s">
        <v>49</v>
      </c>
      <c r="AK84" s="34">
        <v>0</v>
      </c>
      <c r="AL84" s="33">
        <f t="shared" si="11"/>
        <v>0</v>
      </c>
      <c r="AM84" s="35"/>
      <c r="AN84" s="34" t="s">
        <v>49</v>
      </c>
      <c r="AO84" s="34" t="s">
        <v>49</v>
      </c>
      <c r="AP84" s="34" t="s">
        <v>49</v>
      </c>
      <c r="AQ84" s="34" t="s">
        <v>49</v>
      </c>
      <c r="AR84" s="34" t="s">
        <v>49</v>
      </c>
      <c r="AS84" s="27" t="s">
        <v>183</v>
      </c>
      <c r="AT84" s="34" t="s">
        <v>49</v>
      </c>
      <c r="AU84" s="73" t="s">
        <v>356</v>
      </c>
      <c r="AV84" s="68" t="s">
        <v>377</v>
      </c>
    </row>
    <row r="85" spans="1:53" ht="56.25" x14ac:dyDescent="0.2">
      <c r="A85" s="23">
        <v>77</v>
      </c>
      <c r="B85" s="23" t="s">
        <v>52</v>
      </c>
      <c r="C85" s="24"/>
      <c r="D85" s="37"/>
      <c r="E85" s="26"/>
      <c r="F85" s="64" t="s">
        <v>147</v>
      </c>
      <c r="G85" s="57" t="s">
        <v>178</v>
      </c>
      <c r="H85" s="12"/>
      <c r="I85" s="12"/>
      <c r="J85" s="43">
        <v>1</v>
      </c>
      <c r="K85" s="27" t="s">
        <v>341</v>
      </c>
      <c r="L85" s="27"/>
      <c r="M85" s="27"/>
      <c r="N85" s="27"/>
      <c r="O85" s="27"/>
      <c r="P85" s="51">
        <v>1053000</v>
      </c>
      <c r="Q85" s="28">
        <f t="shared" si="7"/>
        <v>1053000</v>
      </c>
      <c r="R85" s="29" t="s">
        <v>50</v>
      </c>
      <c r="S85" s="28">
        <f t="shared" si="8"/>
        <v>-1053000</v>
      </c>
      <c r="T85" s="27" t="s">
        <v>49</v>
      </c>
      <c r="U85" s="27" t="s">
        <v>49</v>
      </c>
      <c r="V85" s="27" t="s">
        <v>49</v>
      </c>
      <c r="W85" s="27" t="s">
        <v>49</v>
      </c>
      <c r="X85" s="27" t="s">
        <v>49</v>
      </c>
      <c r="Y85" s="31" t="s">
        <v>49</v>
      </c>
      <c r="Z85" s="31"/>
      <c r="AA85" s="31" t="s">
        <v>49</v>
      </c>
      <c r="AB85" s="31"/>
      <c r="AC85" s="31" t="s">
        <v>49</v>
      </c>
      <c r="AD85" s="32">
        <v>0</v>
      </c>
      <c r="AE85" s="33">
        <f t="shared" si="6"/>
        <v>0</v>
      </c>
      <c r="AF85" s="34">
        <v>0</v>
      </c>
      <c r="AG85" s="33">
        <f t="shared" si="9"/>
        <v>0</v>
      </c>
      <c r="AH85" s="34">
        <v>0</v>
      </c>
      <c r="AI85" s="33">
        <f t="shared" si="10"/>
        <v>0</v>
      </c>
      <c r="AJ85" s="34" t="s">
        <v>49</v>
      </c>
      <c r="AK85" s="34">
        <v>0</v>
      </c>
      <c r="AL85" s="33">
        <f t="shared" si="11"/>
        <v>0</v>
      </c>
      <c r="AM85" s="35"/>
      <c r="AN85" s="34" t="s">
        <v>49</v>
      </c>
      <c r="AO85" s="34" t="s">
        <v>49</v>
      </c>
      <c r="AP85" s="34" t="s">
        <v>49</v>
      </c>
      <c r="AQ85" s="34" t="s">
        <v>49</v>
      </c>
      <c r="AR85" s="34" t="s">
        <v>49</v>
      </c>
      <c r="AS85" s="27" t="s">
        <v>183</v>
      </c>
      <c r="AT85" s="34" t="s">
        <v>49</v>
      </c>
      <c r="AU85" s="73" t="s">
        <v>351</v>
      </c>
      <c r="AV85" s="68" t="s">
        <v>379</v>
      </c>
      <c r="AW85" s="80" t="s">
        <v>393</v>
      </c>
    </row>
    <row r="86" spans="1:53" ht="56.25" x14ac:dyDescent="0.2">
      <c r="A86" s="23">
        <v>78</v>
      </c>
      <c r="B86" s="23" t="s">
        <v>52</v>
      </c>
      <c r="C86" s="24"/>
      <c r="D86" s="37"/>
      <c r="E86" s="26"/>
      <c r="F86" s="64" t="s">
        <v>148</v>
      </c>
      <c r="G86" s="57" t="s">
        <v>179</v>
      </c>
      <c r="H86" s="12"/>
      <c r="I86" s="12"/>
      <c r="J86" s="43">
        <v>1</v>
      </c>
      <c r="K86" s="27" t="s">
        <v>341</v>
      </c>
      <c r="L86" s="27"/>
      <c r="M86" s="27"/>
      <c r="N86" s="27"/>
      <c r="O86" s="27"/>
      <c r="P86" s="51">
        <v>1534500</v>
      </c>
      <c r="Q86" s="28">
        <f t="shared" si="7"/>
        <v>1534500</v>
      </c>
      <c r="R86" s="29" t="s">
        <v>50</v>
      </c>
      <c r="S86" s="28">
        <f t="shared" si="8"/>
        <v>-1534500</v>
      </c>
      <c r="T86" s="27" t="s">
        <v>49</v>
      </c>
      <c r="U86" s="27" t="s">
        <v>49</v>
      </c>
      <c r="V86" s="27" t="s">
        <v>49</v>
      </c>
      <c r="W86" s="27" t="s">
        <v>49</v>
      </c>
      <c r="X86" s="27" t="s">
        <v>49</v>
      </c>
      <c r="Y86" s="31" t="s">
        <v>49</v>
      </c>
      <c r="Z86" s="31"/>
      <c r="AA86" s="31" t="s">
        <v>49</v>
      </c>
      <c r="AB86" s="31"/>
      <c r="AC86" s="31" t="s">
        <v>49</v>
      </c>
      <c r="AD86" s="32">
        <v>0</v>
      </c>
      <c r="AE86" s="33">
        <f t="shared" si="6"/>
        <v>0</v>
      </c>
      <c r="AF86" s="34">
        <v>0</v>
      </c>
      <c r="AG86" s="33">
        <f t="shared" si="9"/>
        <v>0</v>
      </c>
      <c r="AH86" s="34">
        <v>0</v>
      </c>
      <c r="AI86" s="33">
        <f t="shared" si="10"/>
        <v>0</v>
      </c>
      <c r="AJ86" s="34" t="s">
        <v>49</v>
      </c>
      <c r="AK86" s="34">
        <v>0</v>
      </c>
      <c r="AL86" s="33">
        <f t="shared" si="11"/>
        <v>0</v>
      </c>
      <c r="AM86" s="35"/>
      <c r="AN86" s="34" t="s">
        <v>49</v>
      </c>
      <c r="AO86" s="34" t="s">
        <v>49</v>
      </c>
      <c r="AP86" s="34" t="s">
        <v>49</v>
      </c>
      <c r="AQ86" s="34" t="s">
        <v>49</v>
      </c>
      <c r="AR86" s="34" t="s">
        <v>49</v>
      </c>
      <c r="AS86" s="27" t="s">
        <v>183</v>
      </c>
      <c r="AT86" s="34" t="s">
        <v>49</v>
      </c>
      <c r="AU86" s="73" t="s">
        <v>356</v>
      </c>
      <c r="AV86" s="68" t="s">
        <v>379</v>
      </c>
      <c r="AW86" s="80" t="s">
        <v>393</v>
      </c>
    </row>
    <row r="87" spans="1:53" ht="56.25" x14ac:dyDescent="0.2">
      <c r="A87" s="23">
        <v>79</v>
      </c>
      <c r="B87" s="23" t="s">
        <v>52</v>
      </c>
      <c r="C87" s="24"/>
      <c r="D87" s="37"/>
      <c r="E87" s="26"/>
      <c r="F87" s="64" t="s">
        <v>149</v>
      </c>
      <c r="G87" s="57" t="s">
        <v>180</v>
      </c>
      <c r="H87" s="12"/>
      <c r="I87" s="12"/>
      <c r="J87" s="43">
        <v>1</v>
      </c>
      <c r="K87" s="27" t="s">
        <v>341</v>
      </c>
      <c r="L87" s="27"/>
      <c r="M87" s="27"/>
      <c r="N87" s="27"/>
      <c r="O87" s="27"/>
      <c r="P87" s="51">
        <v>3334500</v>
      </c>
      <c r="Q87" s="28">
        <f t="shared" si="7"/>
        <v>3334500</v>
      </c>
      <c r="R87" s="29" t="s">
        <v>50</v>
      </c>
      <c r="S87" s="28">
        <f t="shared" si="8"/>
        <v>-3334500</v>
      </c>
      <c r="T87" s="27" t="s">
        <v>49</v>
      </c>
      <c r="U87" s="27" t="s">
        <v>49</v>
      </c>
      <c r="V87" s="27" t="s">
        <v>49</v>
      </c>
      <c r="W87" s="27" t="s">
        <v>49</v>
      </c>
      <c r="X87" s="27" t="s">
        <v>49</v>
      </c>
      <c r="Y87" s="31" t="s">
        <v>49</v>
      </c>
      <c r="Z87" s="31"/>
      <c r="AA87" s="31" t="s">
        <v>49</v>
      </c>
      <c r="AB87" s="31"/>
      <c r="AC87" s="31" t="s">
        <v>49</v>
      </c>
      <c r="AD87" s="32">
        <v>0</v>
      </c>
      <c r="AE87" s="33">
        <f t="shared" si="6"/>
        <v>0</v>
      </c>
      <c r="AF87" s="34">
        <v>0</v>
      </c>
      <c r="AG87" s="33">
        <f t="shared" si="9"/>
        <v>0</v>
      </c>
      <c r="AH87" s="34">
        <v>0</v>
      </c>
      <c r="AI87" s="33">
        <f t="shared" si="10"/>
        <v>0</v>
      </c>
      <c r="AJ87" s="34" t="s">
        <v>49</v>
      </c>
      <c r="AK87" s="34">
        <v>0</v>
      </c>
      <c r="AL87" s="33">
        <f t="shared" si="11"/>
        <v>0</v>
      </c>
      <c r="AM87" s="35"/>
      <c r="AN87" s="34" t="s">
        <v>49</v>
      </c>
      <c r="AO87" s="34" t="s">
        <v>49</v>
      </c>
      <c r="AP87" s="34" t="s">
        <v>49</v>
      </c>
      <c r="AQ87" s="34" t="s">
        <v>49</v>
      </c>
      <c r="AR87" s="34" t="s">
        <v>49</v>
      </c>
      <c r="AS87" s="27" t="s">
        <v>183</v>
      </c>
      <c r="AT87" s="34" t="s">
        <v>49</v>
      </c>
      <c r="AU87" s="73" t="s">
        <v>366</v>
      </c>
      <c r="AV87" s="68" t="s">
        <v>379</v>
      </c>
      <c r="AW87" s="80" t="s">
        <v>393</v>
      </c>
    </row>
    <row r="88" spans="1:53" ht="75" x14ac:dyDescent="0.2">
      <c r="A88" s="23">
        <v>80</v>
      </c>
      <c r="B88" s="23" t="s">
        <v>52</v>
      </c>
      <c r="C88" s="24"/>
      <c r="D88" s="37"/>
      <c r="E88" s="26"/>
      <c r="F88" s="64" t="s">
        <v>150</v>
      </c>
      <c r="G88" s="57" t="s">
        <v>181</v>
      </c>
      <c r="H88" s="12"/>
      <c r="I88" s="12"/>
      <c r="J88" s="43">
        <v>1</v>
      </c>
      <c r="K88" s="27" t="s">
        <v>341</v>
      </c>
      <c r="L88" s="27"/>
      <c r="M88" s="27"/>
      <c r="N88" s="27"/>
      <c r="O88" s="27"/>
      <c r="P88" s="51">
        <v>2781000</v>
      </c>
      <c r="Q88" s="28">
        <f t="shared" si="7"/>
        <v>2781000</v>
      </c>
      <c r="R88" s="29" t="s">
        <v>50</v>
      </c>
      <c r="S88" s="28">
        <f t="shared" si="8"/>
        <v>-2781000</v>
      </c>
      <c r="T88" s="27" t="s">
        <v>49</v>
      </c>
      <c r="U88" s="27" t="s">
        <v>49</v>
      </c>
      <c r="V88" s="27" t="s">
        <v>49</v>
      </c>
      <c r="W88" s="27" t="s">
        <v>49</v>
      </c>
      <c r="X88" s="27" t="s">
        <v>49</v>
      </c>
      <c r="Y88" s="31" t="s">
        <v>49</v>
      </c>
      <c r="Z88" s="31"/>
      <c r="AA88" s="31" t="s">
        <v>49</v>
      </c>
      <c r="AB88" s="31"/>
      <c r="AC88" s="31" t="s">
        <v>49</v>
      </c>
      <c r="AD88" s="32">
        <v>0</v>
      </c>
      <c r="AE88" s="33">
        <f t="shared" si="6"/>
        <v>0</v>
      </c>
      <c r="AF88" s="34">
        <v>0</v>
      </c>
      <c r="AG88" s="33">
        <f t="shared" si="9"/>
        <v>0</v>
      </c>
      <c r="AH88" s="34">
        <v>0</v>
      </c>
      <c r="AI88" s="33">
        <f t="shared" si="10"/>
        <v>0</v>
      </c>
      <c r="AJ88" s="34" t="s">
        <v>49</v>
      </c>
      <c r="AK88" s="34">
        <v>0</v>
      </c>
      <c r="AL88" s="33">
        <f t="shared" si="11"/>
        <v>0</v>
      </c>
      <c r="AM88" s="35"/>
      <c r="AN88" s="34" t="s">
        <v>49</v>
      </c>
      <c r="AO88" s="34" t="s">
        <v>49</v>
      </c>
      <c r="AP88" s="34" t="s">
        <v>49</v>
      </c>
      <c r="AQ88" s="34" t="s">
        <v>49</v>
      </c>
      <c r="AR88" s="34" t="s">
        <v>49</v>
      </c>
      <c r="AS88" s="27" t="s">
        <v>183</v>
      </c>
      <c r="AT88" s="34" t="s">
        <v>49</v>
      </c>
      <c r="AU88" s="73" t="s">
        <v>348</v>
      </c>
      <c r="AV88" s="68" t="s">
        <v>379</v>
      </c>
      <c r="AW88" s="80" t="s">
        <v>393</v>
      </c>
    </row>
    <row r="89" spans="1:53" ht="75" x14ac:dyDescent="0.2">
      <c r="A89" s="23">
        <v>81</v>
      </c>
      <c r="B89" s="23" t="s">
        <v>52</v>
      </c>
      <c r="C89" s="24"/>
      <c r="D89" s="37"/>
      <c r="E89" s="26"/>
      <c r="F89" s="64" t="s">
        <v>151</v>
      </c>
      <c r="G89" s="57" t="s">
        <v>182</v>
      </c>
      <c r="H89" s="12"/>
      <c r="I89" s="12"/>
      <c r="J89" s="43">
        <v>1</v>
      </c>
      <c r="K89" s="27" t="s">
        <v>341</v>
      </c>
      <c r="L89" s="27"/>
      <c r="M89" s="27"/>
      <c r="N89" s="27"/>
      <c r="O89" s="27"/>
      <c r="P89" s="51">
        <v>1264500</v>
      </c>
      <c r="Q89" s="28">
        <f t="shared" si="7"/>
        <v>1264500</v>
      </c>
      <c r="R89" s="29" t="s">
        <v>50</v>
      </c>
      <c r="S89" s="28">
        <f t="shared" si="8"/>
        <v>-1264500</v>
      </c>
      <c r="T89" s="27" t="s">
        <v>49</v>
      </c>
      <c r="U89" s="27" t="s">
        <v>49</v>
      </c>
      <c r="V89" s="27" t="s">
        <v>49</v>
      </c>
      <c r="W89" s="27" t="s">
        <v>49</v>
      </c>
      <c r="X89" s="27" t="s">
        <v>49</v>
      </c>
      <c r="Y89" s="31" t="s">
        <v>49</v>
      </c>
      <c r="Z89" s="31"/>
      <c r="AA89" s="31" t="s">
        <v>49</v>
      </c>
      <c r="AB89" s="31"/>
      <c r="AC89" s="31" t="s">
        <v>49</v>
      </c>
      <c r="AD89" s="32">
        <v>0</v>
      </c>
      <c r="AE89" s="33">
        <f t="shared" si="6"/>
        <v>0</v>
      </c>
      <c r="AF89" s="34">
        <v>0</v>
      </c>
      <c r="AG89" s="33">
        <f t="shared" si="9"/>
        <v>0</v>
      </c>
      <c r="AH89" s="34">
        <v>0</v>
      </c>
      <c r="AI89" s="33">
        <f t="shared" si="10"/>
        <v>0</v>
      </c>
      <c r="AJ89" s="34" t="s">
        <v>49</v>
      </c>
      <c r="AK89" s="34">
        <v>0</v>
      </c>
      <c r="AL89" s="33">
        <f t="shared" si="11"/>
        <v>0</v>
      </c>
      <c r="AM89" s="35"/>
      <c r="AN89" s="34" t="s">
        <v>49</v>
      </c>
      <c r="AO89" s="34" t="s">
        <v>49</v>
      </c>
      <c r="AP89" s="34" t="s">
        <v>49</v>
      </c>
      <c r="AQ89" s="34" t="s">
        <v>49</v>
      </c>
      <c r="AR89" s="34" t="s">
        <v>49</v>
      </c>
      <c r="AS89" s="27" t="s">
        <v>183</v>
      </c>
      <c r="AT89" s="34" t="s">
        <v>49</v>
      </c>
      <c r="AU89" s="73" t="s">
        <v>366</v>
      </c>
      <c r="AV89" s="68" t="s">
        <v>379</v>
      </c>
      <c r="AW89" s="80" t="s">
        <v>393</v>
      </c>
    </row>
    <row r="90" spans="1:53" ht="75" x14ac:dyDescent="0.2">
      <c r="A90" s="23">
        <v>82</v>
      </c>
      <c r="B90" s="23" t="s">
        <v>52</v>
      </c>
      <c r="C90" s="24"/>
      <c r="D90" s="37"/>
      <c r="E90" s="26"/>
      <c r="F90" s="64" t="s">
        <v>184</v>
      </c>
      <c r="G90" s="57" t="s">
        <v>363</v>
      </c>
      <c r="H90" s="12"/>
      <c r="I90" s="12"/>
      <c r="J90" s="43">
        <v>1</v>
      </c>
      <c r="K90" s="27" t="s">
        <v>341</v>
      </c>
      <c r="L90" s="27"/>
      <c r="M90" s="27"/>
      <c r="N90" s="27"/>
      <c r="O90" s="27"/>
      <c r="P90" s="51">
        <v>675000</v>
      </c>
      <c r="Q90" s="28">
        <f t="shared" si="7"/>
        <v>675000</v>
      </c>
      <c r="R90" s="29" t="s">
        <v>50</v>
      </c>
      <c r="S90" s="28">
        <f t="shared" si="8"/>
        <v>-675000</v>
      </c>
      <c r="T90" s="27" t="s">
        <v>49</v>
      </c>
      <c r="U90" s="27" t="s">
        <v>49</v>
      </c>
      <c r="V90" s="27" t="s">
        <v>49</v>
      </c>
      <c r="W90" s="27" t="s">
        <v>49</v>
      </c>
      <c r="X90" s="27" t="s">
        <v>49</v>
      </c>
      <c r="Y90" s="31" t="s">
        <v>49</v>
      </c>
      <c r="Z90" s="31"/>
      <c r="AA90" s="31" t="s">
        <v>49</v>
      </c>
      <c r="AB90" s="31"/>
      <c r="AC90" s="31" t="s">
        <v>49</v>
      </c>
      <c r="AD90" s="32">
        <v>0</v>
      </c>
      <c r="AE90" s="33">
        <f t="shared" si="6"/>
        <v>0</v>
      </c>
      <c r="AF90" s="34">
        <v>0</v>
      </c>
      <c r="AG90" s="33">
        <f t="shared" si="9"/>
        <v>0</v>
      </c>
      <c r="AH90" s="34">
        <v>0</v>
      </c>
      <c r="AI90" s="33">
        <f t="shared" si="10"/>
        <v>0</v>
      </c>
      <c r="AJ90" s="34" t="s">
        <v>49</v>
      </c>
      <c r="AK90" s="34">
        <v>0</v>
      </c>
      <c r="AL90" s="33">
        <f t="shared" si="11"/>
        <v>0</v>
      </c>
      <c r="AM90" s="35"/>
      <c r="AN90" s="34" t="s">
        <v>49</v>
      </c>
      <c r="AO90" s="34" t="s">
        <v>49</v>
      </c>
      <c r="AP90" s="34" t="s">
        <v>49</v>
      </c>
      <c r="AQ90" s="34" t="s">
        <v>49</v>
      </c>
      <c r="AR90" s="34" t="s">
        <v>49</v>
      </c>
      <c r="AS90" s="27" t="s">
        <v>183</v>
      </c>
      <c r="AT90" s="34" t="s">
        <v>49</v>
      </c>
      <c r="AU90" s="73" t="s">
        <v>358</v>
      </c>
      <c r="AV90" s="68"/>
    </row>
    <row r="91" spans="1:53" ht="75" x14ac:dyDescent="0.2">
      <c r="A91" s="23">
        <v>83</v>
      </c>
      <c r="B91" s="23" t="s">
        <v>52</v>
      </c>
      <c r="C91" s="24"/>
      <c r="D91" s="37"/>
      <c r="E91" s="26"/>
      <c r="F91" s="64" t="s">
        <v>185</v>
      </c>
      <c r="G91" s="57" t="s">
        <v>192</v>
      </c>
      <c r="H91" s="12"/>
      <c r="I91" s="12"/>
      <c r="J91" s="43">
        <v>1</v>
      </c>
      <c r="K91" s="27" t="s">
        <v>341</v>
      </c>
      <c r="L91" s="27"/>
      <c r="M91" s="27"/>
      <c r="N91" s="27"/>
      <c r="O91" s="27"/>
      <c r="P91" s="51">
        <v>675000</v>
      </c>
      <c r="Q91" s="28">
        <f t="shared" si="7"/>
        <v>675000</v>
      </c>
      <c r="R91" s="29" t="s">
        <v>50</v>
      </c>
      <c r="S91" s="28">
        <f t="shared" si="8"/>
        <v>-675000</v>
      </c>
      <c r="T91" s="27" t="s">
        <v>49</v>
      </c>
      <c r="U91" s="27" t="s">
        <v>49</v>
      </c>
      <c r="V91" s="27" t="s">
        <v>49</v>
      </c>
      <c r="W91" s="27" t="s">
        <v>49</v>
      </c>
      <c r="X91" s="27" t="s">
        <v>49</v>
      </c>
      <c r="Y91" s="31" t="s">
        <v>49</v>
      </c>
      <c r="Z91" s="31"/>
      <c r="AA91" s="31" t="s">
        <v>49</v>
      </c>
      <c r="AB91" s="31"/>
      <c r="AC91" s="31" t="s">
        <v>49</v>
      </c>
      <c r="AD91" s="32">
        <v>0</v>
      </c>
      <c r="AE91" s="33">
        <f t="shared" si="6"/>
        <v>0</v>
      </c>
      <c r="AF91" s="34">
        <v>0</v>
      </c>
      <c r="AG91" s="33">
        <f t="shared" si="9"/>
        <v>0</v>
      </c>
      <c r="AH91" s="34">
        <v>0</v>
      </c>
      <c r="AI91" s="33">
        <f t="shared" si="10"/>
        <v>0</v>
      </c>
      <c r="AJ91" s="34" t="s">
        <v>49</v>
      </c>
      <c r="AK91" s="34">
        <v>0</v>
      </c>
      <c r="AL91" s="33">
        <f t="shared" si="11"/>
        <v>0</v>
      </c>
      <c r="AM91" s="35"/>
      <c r="AN91" s="34" t="s">
        <v>49</v>
      </c>
      <c r="AO91" s="34" t="s">
        <v>49</v>
      </c>
      <c r="AP91" s="34" t="s">
        <v>49</v>
      </c>
      <c r="AQ91" s="34" t="s">
        <v>49</v>
      </c>
      <c r="AR91" s="34" t="s">
        <v>49</v>
      </c>
      <c r="AS91" s="27" t="s">
        <v>183</v>
      </c>
      <c r="AT91" s="34" t="s">
        <v>49</v>
      </c>
      <c r="AU91" s="73" t="s">
        <v>358</v>
      </c>
      <c r="AV91" s="68"/>
    </row>
    <row r="92" spans="1:53" ht="75" x14ac:dyDescent="0.2">
      <c r="A92" s="23">
        <v>84</v>
      </c>
      <c r="B92" s="23" t="s">
        <v>52</v>
      </c>
      <c r="C92" s="24"/>
      <c r="D92" s="37"/>
      <c r="E92" s="26"/>
      <c r="F92" s="64" t="s">
        <v>186</v>
      </c>
      <c r="G92" s="57" t="s">
        <v>193</v>
      </c>
      <c r="H92" s="12"/>
      <c r="I92" s="12"/>
      <c r="J92" s="43">
        <v>1</v>
      </c>
      <c r="K92" s="27" t="s">
        <v>341</v>
      </c>
      <c r="L92" s="27"/>
      <c r="M92" s="27"/>
      <c r="N92" s="27"/>
      <c r="O92" s="27"/>
      <c r="P92" s="51">
        <v>68341500</v>
      </c>
      <c r="Q92" s="28">
        <f t="shared" si="7"/>
        <v>68341500</v>
      </c>
      <c r="R92" s="29" t="s">
        <v>50</v>
      </c>
      <c r="S92" s="28">
        <f t="shared" si="8"/>
        <v>-68341500</v>
      </c>
      <c r="T92" s="27" t="s">
        <v>49</v>
      </c>
      <c r="U92" s="27" t="s">
        <v>49</v>
      </c>
      <c r="V92" s="27" t="s">
        <v>49</v>
      </c>
      <c r="W92" s="27" t="s">
        <v>49</v>
      </c>
      <c r="X92" s="27" t="s">
        <v>49</v>
      </c>
      <c r="Y92" s="31" t="s">
        <v>49</v>
      </c>
      <c r="Z92" s="31"/>
      <c r="AA92" s="31" t="s">
        <v>49</v>
      </c>
      <c r="AB92" s="31"/>
      <c r="AC92" s="31" t="s">
        <v>49</v>
      </c>
      <c r="AD92" s="32">
        <v>0</v>
      </c>
      <c r="AE92" s="33">
        <f t="shared" si="6"/>
        <v>0</v>
      </c>
      <c r="AF92" s="34">
        <v>0</v>
      </c>
      <c r="AG92" s="33">
        <f t="shared" si="9"/>
        <v>0</v>
      </c>
      <c r="AH92" s="34">
        <v>0</v>
      </c>
      <c r="AI92" s="33">
        <f t="shared" si="10"/>
        <v>0</v>
      </c>
      <c r="AJ92" s="34" t="s">
        <v>49</v>
      </c>
      <c r="AK92" s="34">
        <v>0</v>
      </c>
      <c r="AL92" s="33">
        <f t="shared" si="11"/>
        <v>0</v>
      </c>
      <c r="AM92" s="35"/>
      <c r="AN92" s="34" t="s">
        <v>49</v>
      </c>
      <c r="AO92" s="34" t="s">
        <v>49</v>
      </c>
      <c r="AP92" s="34" t="s">
        <v>49</v>
      </c>
      <c r="AQ92" s="34" t="s">
        <v>49</v>
      </c>
      <c r="AR92" s="34" t="s">
        <v>49</v>
      </c>
      <c r="AS92" s="27" t="s">
        <v>183</v>
      </c>
      <c r="AT92" s="34" t="s">
        <v>49</v>
      </c>
      <c r="AU92" s="73" t="s">
        <v>366</v>
      </c>
      <c r="AV92" s="68"/>
    </row>
    <row r="93" spans="1:53" ht="37.5" x14ac:dyDescent="0.2">
      <c r="A93" s="23">
        <v>85</v>
      </c>
      <c r="B93" s="23" t="s">
        <v>52</v>
      </c>
      <c r="C93" s="24"/>
      <c r="D93" s="37"/>
      <c r="E93" s="26"/>
      <c r="F93" s="64" t="s">
        <v>187</v>
      </c>
      <c r="G93" s="57" t="s">
        <v>194</v>
      </c>
      <c r="H93" s="12"/>
      <c r="I93" s="12"/>
      <c r="J93" s="43">
        <v>1</v>
      </c>
      <c r="K93" s="27" t="s">
        <v>341</v>
      </c>
      <c r="L93" s="27"/>
      <c r="M93" s="27"/>
      <c r="N93" s="27"/>
      <c r="O93" s="27"/>
      <c r="P93" s="51">
        <v>46800000</v>
      </c>
      <c r="Q93" s="28">
        <f t="shared" si="7"/>
        <v>46800000</v>
      </c>
      <c r="R93" s="29" t="s">
        <v>50</v>
      </c>
      <c r="S93" s="28">
        <f t="shared" si="8"/>
        <v>-46800000</v>
      </c>
      <c r="T93" s="27" t="s">
        <v>49</v>
      </c>
      <c r="U93" s="27" t="s">
        <v>49</v>
      </c>
      <c r="V93" s="27" t="s">
        <v>49</v>
      </c>
      <c r="W93" s="27" t="s">
        <v>49</v>
      </c>
      <c r="X93" s="27" t="s">
        <v>49</v>
      </c>
      <c r="Y93" s="31" t="s">
        <v>49</v>
      </c>
      <c r="Z93" s="31"/>
      <c r="AA93" s="31" t="s">
        <v>49</v>
      </c>
      <c r="AB93" s="31"/>
      <c r="AC93" s="31" t="s">
        <v>49</v>
      </c>
      <c r="AD93" s="32">
        <v>0</v>
      </c>
      <c r="AE93" s="33">
        <f t="shared" si="6"/>
        <v>0</v>
      </c>
      <c r="AF93" s="34">
        <v>0</v>
      </c>
      <c r="AG93" s="33">
        <f t="shared" si="9"/>
        <v>0</v>
      </c>
      <c r="AH93" s="34">
        <v>0</v>
      </c>
      <c r="AI93" s="33">
        <f t="shared" si="10"/>
        <v>0</v>
      </c>
      <c r="AJ93" s="34" t="s">
        <v>49</v>
      </c>
      <c r="AK93" s="34">
        <v>0</v>
      </c>
      <c r="AL93" s="33">
        <f t="shared" si="11"/>
        <v>0</v>
      </c>
      <c r="AM93" s="35"/>
      <c r="AN93" s="34" t="s">
        <v>49</v>
      </c>
      <c r="AO93" s="34" t="s">
        <v>49</v>
      </c>
      <c r="AP93" s="34" t="s">
        <v>49</v>
      </c>
      <c r="AQ93" s="34" t="s">
        <v>49</v>
      </c>
      <c r="AR93" s="34" t="s">
        <v>49</v>
      </c>
      <c r="AS93" s="27" t="s">
        <v>183</v>
      </c>
      <c r="AT93" s="34" t="s">
        <v>49</v>
      </c>
      <c r="AU93" s="73" t="s">
        <v>356</v>
      </c>
      <c r="AV93" s="68"/>
    </row>
    <row r="94" spans="1:53" ht="150" x14ac:dyDescent="0.2">
      <c r="A94" s="23">
        <v>86</v>
      </c>
      <c r="B94" s="23" t="s">
        <v>52</v>
      </c>
      <c r="C94" s="24"/>
      <c r="D94" s="37"/>
      <c r="E94" s="26"/>
      <c r="F94" s="64" t="s">
        <v>188</v>
      </c>
      <c r="G94" s="57" t="s">
        <v>195</v>
      </c>
      <c r="H94" s="12"/>
      <c r="I94" s="12"/>
      <c r="J94" s="43">
        <v>1</v>
      </c>
      <c r="K94" s="27" t="s">
        <v>341</v>
      </c>
      <c r="L94" s="27"/>
      <c r="M94" s="27"/>
      <c r="N94" s="27"/>
      <c r="O94" s="27"/>
      <c r="P94" s="51">
        <v>7992000</v>
      </c>
      <c r="Q94" s="28">
        <f t="shared" si="7"/>
        <v>7992000</v>
      </c>
      <c r="R94" s="29" t="s">
        <v>50</v>
      </c>
      <c r="S94" s="28">
        <f t="shared" si="8"/>
        <v>-7992000</v>
      </c>
      <c r="T94" s="27" t="s">
        <v>49</v>
      </c>
      <c r="U94" s="27" t="s">
        <v>49</v>
      </c>
      <c r="V94" s="27" t="s">
        <v>49</v>
      </c>
      <c r="W94" s="27" t="s">
        <v>49</v>
      </c>
      <c r="X94" s="27" t="s">
        <v>49</v>
      </c>
      <c r="Y94" s="31" t="s">
        <v>49</v>
      </c>
      <c r="Z94" s="31"/>
      <c r="AA94" s="31" t="s">
        <v>49</v>
      </c>
      <c r="AB94" s="31"/>
      <c r="AC94" s="31" t="s">
        <v>49</v>
      </c>
      <c r="AD94" s="32">
        <v>0</v>
      </c>
      <c r="AE94" s="33">
        <f t="shared" si="6"/>
        <v>0</v>
      </c>
      <c r="AF94" s="34">
        <v>0</v>
      </c>
      <c r="AG94" s="33">
        <f t="shared" si="9"/>
        <v>0</v>
      </c>
      <c r="AH94" s="34">
        <v>0</v>
      </c>
      <c r="AI94" s="33">
        <f t="shared" si="10"/>
        <v>0</v>
      </c>
      <c r="AJ94" s="34" t="s">
        <v>49</v>
      </c>
      <c r="AK94" s="34">
        <v>0</v>
      </c>
      <c r="AL94" s="33">
        <f t="shared" si="11"/>
        <v>0</v>
      </c>
      <c r="AM94" s="35"/>
      <c r="AN94" s="34" t="s">
        <v>49</v>
      </c>
      <c r="AO94" s="34" t="s">
        <v>49</v>
      </c>
      <c r="AP94" s="34" t="s">
        <v>49</v>
      </c>
      <c r="AQ94" s="34" t="s">
        <v>49</v>
      </c>
      <c r="AR94" s="34" t="s">
        <v>49</v>
      </c>
      <c r="AS94" s="27" t="s">
        <v>183</v>
      </c>
      <c r="AT94" s="34" t="s">
        <v>49</v>
      </c>
      <c r="AU94" s="73" t="s">
        <v>358</v>
      </c>
      <c r="AV94" s="68"/>
      <c r="AW94" s="1" t="s">
        <v>400</v>
      </c>
      <c r="AY94" s="85" t="s">
        <v>408</v>
      </c>
      <c r="AZ94" s="88">
        <v>999367.71</v>
      </c>
      <c r="BA94" s="88">
        <f>AZ94*J94</f>
        <v>999367.71</v>
      </c>
    </row>
    <row r="95" spans="1:53" ht="56.25" x14ac:dyDescent="0.2">
      <c r="A95" s="23">
        <v>87</v>
      </c>
      <c r="B95" s="23" t="s">
        <v>52</v>
      </c>
      <c r="C95" s="24"/>
      <c r="D95" s="37"/>
      <c r="E95" s="26"/>
      <c r="F95" s="64" t="s">
        <v>189</v>
      </c>
      <c r="G95" s="57" t="s">
        <v>196</v>
      </c>
      <c r="H95" s="12"/>
      <c r="I95" s="12"/>
      <c r="J95" s="43">
        <v>1</v>
      </c>
      <c r="K95" s="27" t="s">
        <v>341</v>
      </c>
      <c r="L95" s="27"/>
      <c r="M95" s="27"/>
      <c r="N95" s="27"/>
      <c r="O95" s="27"/>
      <c r="P95" s="51">
        <v>40000000</v>
      </c>
      <c r="Q95" s="28">
        <f t="shared" si="7"/>
        <v>40000000</v>
      </c>
      <c r="R95" s="29" t="s">
        <v>50</v>
      </c>
      <c r="S95" s="28">
        <f t="shared" si="8"/>
        <v>-40000000</v>
      </c>
      <c r="T95" s="27" t="s">
        <v>49</v>
      </c>
      <c r="U95" s="27" t="s">
        <v>49</v>
      </c>
      <c r="V95" s="27" t="s">
        <v>49</v>
      </c>
      <c r="W95" s="27" t="s">
        <v>49</v>
      </c>
      <c r="X95" s="27" t="s">
        <v>49</v>
      </c>
      <c r="Y95" s="31" t="s">
        <v>49</v>
      </c>
      <c r="Z95" s="31"/>
      <c r="AA95" s="31" t="s">
        <v>49</v>
      </c>
      <c r="AB95" s="31"/>
      <c r="AC95" s="31" t="s">
        <v>49</v>
      </c>
      <c r="AD95" s="32">
        <v>0</v>
      </c>
      <c r="AE95" s="33">
        <f t="shared" si="6"/>
        <v>0</v>
      </c>
      <c r="AF95" s="34">
        <v>0</v>
      </c>
      <c r="AG95" s="33">
        <f t="shared" si="9"/>
        <v>0</v>
      </c>
      <c r="AH95" s="34">
        <v>0</v>
      </c>
      <c r="AI95" s="33">
        <f t="shared" si="10"/>
        <v>0</v>
      </c>
      <c r="AJ95" s="34" t="s">
        <v>49</v>
      </c>
      <c r="AK95" s="34">
        <v>0</v>
      </c>
      <c r="AL95" s="33">
        <f t="shared" si="11"/>
        <v>0</v>
      </c>
      <c r="AM95" s="35"/>
      <c r="AN95" s="34" t="s">
        <v>49</v>
      </c>
      <c r="AO95" s="34" t="s">
        <v>49</v>
      </c>
      <c r="AP95" s="34" t="s">
        <v>49</v>
      </c>
      <c r="AQ95" s="34" t="s">
        <v>49</v>
      </c>
      <c r="AR95" s="34" t="s">
        <v>49</v>
      </c>
      <c r="AS95" s="27" t="s">
        <v>183</v>
      </c>
      <c r="AT95" s="34" t="s">
        <v>49</v>
      </c>
      <c r="AU95" s="73" t="s">
        <v>366</v>
      </c>
      <c r="AV95" s="68"/>
      <c r="AY95" s="85"/>
    </row>
    <row r="96" spans="1:53" ht="131.25" x14ac:dyDescent="0.2">
      <c r="A96" s="23">
        <v>88</v>
      </c>
      <c r="B96" s="23" t="s">
        <v>52</v>
      </c>
      <c r="C96" s="24"/>
      <c r="D96" s="37"/>
      <c r="E96" s="26"/>
      <c r="F96" s="64" t="s">
        <v>190</v>
      </c>
      <c r="G96" s="57" t="s">
        <v>197</v>
      </c>
      <c r="H96" s="12"/>
      <c r="I96" s="12"/>
      <c r="J96" s="43">
        <v>1</v>
      </c>
      <c r="K96" s="27" t="s">
        <v>341</v>
      </c>
      <c r="L96" s="27"/>
      <c r="M96" s="27"/>
      <c r="N96" s="27"/>
      <c r="O96" s="27"/>
      <c r="P96" s="51">
        <v>121954500</v>
      </c>
      <c r="Q96" s="28">
        <f t="shared" si="7"/>
        <v>121954500</v>
      </c>
      <c r="R96" s="29" t="s">
        <v>50</v>
      </c>
      <c r="S96" s="28">
        <f t="shared" si="8"/>
        <v>-121954500</v>
      </c>
      <c r="T96" s="27" t="s">
        <v>49</v>
      </c>
      <c r="U96" s="27" t="s">
        <v>49</v>
      </c>
      <c r="V96" s="27" t="s">
        <v>49</v>
      </c>
      <c r="W96" s="27" t="s">
        <v>49</v>
      </c>
      <c r="X96" s="27" t="s">
        <v>49</v>
      </c>
      <c r="Y96" s="31" t="s">
        <v>49</v>
      </c>
      <c r="Z96" s="31"/>
      <c r="AA96" s="31" t="s">
        <v>49</v>
      </c>
      <c r="AB96" s="31"/>
      <c r="AC96" s="31" t="s">
        <v>49</v>
      </c>
      <c r="AD96" s="32">
        <v>0</v>
      </c>
      <c r="AE96" s="33">
        <f t="shared" si="6"/>
        <v>0</v>
      </c>
      <c r="AF96" s="34">
        <v>0</v>
      </c>
      <c r="AG96" s="33">
        <f t="shared" si="9"/>
        <v>0</v>
      </c>
      <c r="AH96" s="34">
        <v>0</v>
      </c>
      <c r="AI96" s="33">
        <f t="shared" si="10"/>
        <v>0</v>
      </c>
      <c r="AJ96" s="34" t="s">
        <v>49</v>
      </c>
      <c r="AK96" s="34">
        <v>0</v>
      </c>
      <c r="AL96" s="33">
        <f t="shared" si="11"/>
        <v>0</v>
      </c>
      <c r="AM96" s="35"/>
      <c r="AN96" s="34" t="s">
        <v>49</v>
      </c>
      <c r="AO96" s="34" t="s">
        <v>49</v>
      </c>
      <c r="AP96" s="34" t="s">
        <v>49</v>
      </c>
      <c r="AQ96" s="34" t="s">
        <v>49</v>
      </c>
      <c r="AR96" s="34" t="s">
        <v>49</v>
      </c>
      <c r="AS96" s="27" t="s">
        <v>183</v>
      </c>
      <c r="AT96" s="34" t="s">
        <v>49</v>
      </c>
      <c r="AU96" s="73" t="s">
        <v>358</v>
      </c>
      <c r="AV96" s="68"/>
      <c r="AY96" s="86"/>
    </row>
    <row r="97" spans="1:51" x14ac:dyDescent="0.2">
      <c r="A97" s="23">
        <v>89</v>
      </c>
      <c r="B97" s="23" t="s">
        <v>52</v>
      </c>
      <c r="C97" s="24"/>
      <c r="D97" s="37"/>
      <c r="E97" s="26"/>
      <c r="F97" s="64" t="s">
        <v>191</v>
      </c>
      <c r="G97" s="57"/>
      <c r="H97" s="12"/>
      <c r="I97" s="12"/>
      <c r="J97" s="43">
        <v>1</v>
      </c>
      <c r="K97" s="27" t="s">
        <v>341</v>
      </c>
      <c r="L97" s="27"/>
      <c r="M97" s="27"/>
      <c r="N97" s="27"/>
      <c r="O97" s="27"/>
      <c r="P97" s="51">
        <v>450000</v>
      </c>
      <c r="Q97" s="28">
        <f t="shared" si="7"/>
        <v>450000</v>
      </c>
      <c r="R97" s="29" t="s">
        <v>50</v>
      </c>
      <c r="S97" s="28">
        <f t="shared" si="8"/>
        <v>-450000</v>
      </c>
      <c r="T97" s="27" t="s">
        <v>49</v>
      </c>
      <c r="U97" s="27" t="s">
        <v>49</v>
      </c>
      <c r="V97" s="27" t="s">
        <v>49</v>
      </c>
      <c r="W97" s="27" t="s">
        <v>49</v>
      </c>
      <c r="X97" s="27" t="s">
        <v>49</v>
      </c>
      <c r="Y97" s="31" t="s">
        <v>49</v>
      </c>
      <c r="Z97" s="31"/>
      <c r="AA97" s="31" t="s">
        <v>49</v>
      </c>
      <c r="AB97" s="31"/>
      <c r="AC97" s="31" t="s">
        <v>49</v>
      </c>
      <c r="AD97" s="32">
        <v>0</v>
      </c>
      <c r="AE97" s="33">
        <f t="shared" si="6"/>
        <v>0</v>
      </c>
      <c r="AF97" s="34">
        <v>0</v>
      </c>
      <c r="AG97" s="33">
        <f t="shared" si="9"/>
        <v>0</v>
      </c>
      <c r="AH97" s="34">
        <v>0</v>
      </c>
      <c r="AI97" s="33">
        <f t="shared" si="10"/>
        <v>0</v>
      </c>
      <c r="AJ97" s="34" t="s">
        <v>49</v>
      </c>
      <c r="AK97" s="34">
        <v>0</v>
      </c>
      <c r="AL97" s="33">
        <f t="shared" si="11"/>
        <v>0</v>
      </c>
      <c r="AM97" s="35"/>
      <c r="AN97" s="34" t="s">
        <v>49</v>
      </c>
      <c r="AO97" s="34" t="s">
        <v>49</v>
      </c>
      <c r="AP97" s="34" t="s">
        <v>49</v>
      </c>
      <c r="AQ97" s="34" t="s">
        <v>49</v>
      </c>
      <c r="AR97" s="34" t="s">
        <v>49</v>
      </c>
      <c r="AS97" s="27" t="s">
        <v>183</v>
      </c>
      <c r="AT97" s="34" t="s">
        <v>49</v>
      </c>
      <c r="AU97" s="73" t="s">
        <v>358</v>
      </c>
      <c r="AV97" s="68"/>
      <c r="AY97" s="86"/>
    </row>
    <row r="98" spans="1:51" ht="75" x14ac:dyDescent="0.2">
      <c r="A98" s="23">
        <v>90</v>
      </c>
      <c r="B98" s="23" t="s">
        <v>52</v>
      </c>
      <c r="C98" s="24"/>
      <c r="D98" s="37"/>
      <c r="E98" s="26"/>
      <c r="F98" s="64" t="s">
        <v>198</v>
      </c>
      <c r="G98" s="100" t="s">
        <v>269</v>
      </c>
      <c r="H98" s="12"/>
      <c r="I98" s="12"/>
      <c r="J98" s="43">
        <v>1</v>
      </c>
      <c r="K98" s="27" t="s">
        <v>341</v>
      </c>
      <c r="L98" s="27"/>
      <c r="M98" s="27"/>
      <c r="N98" s="27"/>
      <c r="O98" s="27"/>
      <c r="P98" s="51">
        <v>16897500</v>
      </c>
      <c r="Q98" s="28">
        <f t="shared" si="7"/>
        <v>16897500</v>
      </c>
      <c r="R98" s="29" t="s">
        <v>50</v>
      </c>
      <c r="S98" s="28">
        <f t="shared" si="8"/>
        <v>-16897500</v>
      </c>
      <c r="T98" s="27" t="s">
        <v>49</v>
      </c>
      <c r="U98" s="27" t="s">
        <v>49</v>
      </c>
      <c r="V98" s="27" t="s">
        <v>49</v>
      </c>
      <c r="W98" s="27" t="s">
        <v>49</v>
      </c>
      <c r="X98" s="27" t="s">
        <v>49</v>
      </c>
      <c r="Y98" s="31" t="s">
        <v>49</v>
      </c>
      <c r="Z98" s="31"/>
      <c r="AA98" s="31" t="s">
        <v>49</v>
      </c>
      <c r="AB98" s="31"/>
      <c r="AC98" s="31" t="s">
        <v>49</v>
      </c>
      <c r="AD98" s="32">
        <v>0</v>
      </c>
      <c r="AE98" s="33">
        <f t="shared" si="6"/>
        <v>0</v>
      </c>
      <c r="AF98" s="34">
        <v>0</v>
      </c>
      <c r="AG98" s="33">
        <f t="shared" si="9"/>
        <v>0</v>
      </c>
      <c r="AH98" s="34">
        <v>0</v>
      </c>
      <c r="AI98" s="33">
        <f t="shared" si="10"/>
        <v>0</v>
      </c>
      <c r="AJ98" s="34" t="s">
        <v>49</v>
      </c>
      <c r="AK98" s="34">
        <v>0</v>
      </c>
      <c r="AL98" s="33">
        <f t="shared" si="11"/>
        <v>0</v>
      </c>
      <c r="AM98" s="35"/>
      <c r="AN98" s="34" t="s">
        <v>49</v>
      </c>
      <c r="AO98" s="34" t="s">
        <v>49</v>
      </c>
      <c r="AP98" s="34" t="s">
        <v>49</v>
      </c>
      <c r="AQ98" s="34" t="s">
        <v>49</v>
      </c>
      <c r="AR98" s="34" t="s">
        <v>49</v>
      </c>
      <c r="AS98" s="27" t="s">
        <v>183</v>
      </c>
      <c r="AT98" s="34" t="s">
        <v>49</v>
      </c>
      <c r="AU98" s="73" t="s">
        <v>356</v>
      </c>
      <c r="AV98" s="68"/>
      <c r="AY98" s="86"/>
    </row>
    <row r="99" spans="1:51" ht="56.25" x14ac:dyDescent="0.2">
      <c r="A99" s="23">
        <v>91</v>
      </c>
      <c r="B99" s="23" t="s">
        <v>52</v>
      </c>
      <c r="C99" s="24"/>
      <c r="D99" s="37"/>
      <c r="E99" s="26"/>
      <c r="F99" s="64" t="s">
        <v>199</v>
      </c>
      <c r="G99" s="57" t="s">
        <v>270</v>
      </c>
      <c r="H99" s="12"/>
      <c r="I99" s="12"/>
      <c r="J99" s="43">
        <v>1</v>
      </c>
      <c r="K99" s="27" t="s">
        <v>341</v>
      </c>
      <c r="L99" s="27"/>
      <c r="M99" s="27"/>
      <c r="N99" s="27"/>
      <c r="O99" s="27"/>
      <c r="P99" s="51">
        <v>10246500</v>
      </c>
      <c r="Q99" s="28">
        <f t="shared" si="7"/>
        <v>10246500</v>
      </c>
      <c r="R99" s="29" t="s">
        <v>50</v>
      </c>
      <c r="S99" s="28">
        <f t="shared" si="8"/>
        <v>-10246500</v>
      </c>
      <c r="T99" s="27" t="s">
        <v>49</v>
      </c>
      <c r="U99" s="27" t="s">
        <v>49</v>
      </c>
      <c r="V99" s="27" t="s">
        <v>49</v>
      </c>
      <c r="W99" s="27" t="s">
        <v>49</v>
      </c>
      <c r="X99" s="27" t="s">
        <v>49</v>
      </c>
      <c r="Y99" s="31" t="s">
        <v>49</v>
      </c>
      <c r="Z99" s="31"/>
      <c r="AA99" s="31" t="s">
        <v>49</v>
      </c>
      <c r="AB99" s="31"/>
      <c r="AC99" s="31" t="s">
        <v>49</v>
      </c>
      <c r="AD99" s="32">
        <v>0</v>
      </c>
      <c r="AE99" s="33">
        <f t="shared" si="6"/>
        <v>0</v>
      </c>
      <c r="AF99" s="34">
        <v>0</v>
      </c>
      <c r="AG99" s="33">
        <f t="shared" si="9"/>
        <v>0</v>
      </c>
      <c r="AH99" s="34">
        <v>0</v>
      </c>
      <c r="AI99" s="33">
        <f t="shared" si="10"/>
        <v>0</v>
      </c>
      <c r="AJ99" s="34" t="s">
        <v>49</v>
      </c>
      <c r="AK99" s="34">
        <v>0</v>
      </c>
      <c r="AL99" s="33">
        <f t="shared" si="11"/>
        <v>0</v>
      </c>
      <c r="AM99" s="35"/>
      <c r="AN99" s="34" t="s">
        <v>49</v>
      </c>
      <c r="AO99" s="34" t="s">
        <v>49</v>
      </c>
      <c r="AP99" s="34" t="s">
        <v>49</v>
      </c>
      <c r="AQ99" s="34" t="s">
        <v>49</v>
      </c>
      <c r="AR99" s="34" t="s">
        <v>49</v>
      </c>
      <c r="AS99" s="27" t="s">
        <v>183</v>
      </c>
      <c r="AT99" s="34" t="s">
        <v>49</v>
      </c>
      <c r="AU99" s="73" t="s">
        <v>370</v>
      </c>
      <c r="AV99" s="68"/>
      <c r="AY99" s="85"/>
    </row>
    <row r="100" spans="1:51" ht="56.25" x14ac:dyDescent="0.2">
      <c r="A100" s="23">
        <v>92</v>
      </c>
      <c r="B100" s="23" t="s">
        <v>52</v>
      </c>
      <c r="C100" s="24"/>
      <c r="D100" s="37"/>
      <c r="E100" s="26"/>
      <c r="F100" s="64" t="s">
        <v>200</v>
      </c>
      <c r="G100" s="57" t="s">
        <v>271</v>
      </c>
      <c r="H100" s="12"/>
      <c r="I100" s="12"/>
      <c r="J100" s="43">
        <v>4</v>
      </c>
      <c r="K100" s="27" t="s">
        <v>341</v>
      </c>
      <c r="L100" s="27"/>
      <c r="M100" s="27"/>
      <c r="N100" s="27"/>
      <c r="O100" s="27"/>
      <c r="P100" s="51">
        <v>900000</v>
      </c>
      <c r="Q100" s="28">
        <f t="shared" si="7"/>
        <v>3600000</v>
      </c>
      <c r="R100" s="29" t="s">
        <v>50</v>
      </c>
      <c r="S100" s="28">
        <f t="shared" si="8"/>
        <v>-3600000</v>
      </c>
      <c r="T100" s="27" t="s">
        <v>49</v>
      </c>
      <c r="U100" s="27" t="s">
        <v>49</v>
      </c>
      <c r="V100" s="27" t="s">
        <v>49</v>
      </c>
      <c r="W100" s="27" t="s">
        <v>49</v>
      </c>
      <c r="X100" s="27" t="s">
        <v>49</v>
      </c>
      <c r="Y100" s="31" t="s">
        <v>49</v>
      </c>
      <c r="Z100" s="31"/>
      <c r="AA100" s="31" t="s">
        <v>49</v>
      </c>
      <c r="AB100" s="31"/>
      <c r="AC100" s="31" t="s">
        <v>49</v>
      </c>
      <c r="AD100" s="32">
        <v>0</v>
      </c>
      <c r="AE100" s="33">
        <f t="shared" si="6"/>
        <v>0</v>
      </c>
      <c r="AF100" s="34">
        <v>0</v>
      </c>
      <c r="AG100" s="33">
        <f t="shared" si="9"/>
        <v>0</v>
      </c>
      <c r="AH100" s="34">
        <v>0</v>
      </c>
      <c r="AI100" s="33">
        <f t="shared" si="10"/>
        <v>0</v>
      </c>
      <c r="AJ100" s="34" t="s">
        <v>49</v>
      </c>
      <c r="AK100" s="34">
        <v>0</v>
      </c>
      <c r="AL100" s="33">
        <f t="shared" si="11"/>
        <v>0</v>
      </c>
      <c r="AM100" s="35"/>
      <c r="AN100" s="34" t="s">
        <v>49</v>
      </c>
      <c r="AO100" s="34" t="s">
        <v>49</v>
      </c>
      <c r="AP100" s="34" t="s">
        <v>49</v>
      </c>
      <c r="AQ100" s="34" t="s">
        <v>49</v>
      </c>
      <c r="AR100" s="34" t="s">
        <v>49</v>
      </c>
      <c r="AS100" s="27" t="s">
        <v>183</v>
      </c>
      <c r="AT100" s="34" t="s">
        <v>49</v>
      </c>
      <c r="AU100" s="73" t="s">
        <v>358</v>
      </c>
      <c r="AV100" s="79">
        <v>174098</v>
      </c>
      <c r="AW100" s="1" t="s">
        <v>400</v>
      </c>
      <c r="AX100" s="79" t="s">
        <v>389</v>
      </c>
      <c r="AY100" s="87"/>
    </row>
    <row r="101" spans="1:51" x14ac:dyDescent="0.2">
      <c r="A101" s="23">
        <v>93</v>
      </c>
      <c r="B101" s="23" t="s">
        <v>52</v>
      </c>
      <c r="C101" s="24"/>
      <c r="D101" s="37"/>
      <c r="E101" s="26"/>
      <c r="F101" s="64" t="s">
        <v>201</v>
      </c>
      <c r="G101" s="57"/>
      <c r="H101" s="12"/>
      <c r="I101" s="12"/>
      <c r="J101" s="43">
        <v>1</v>
      </c>
      <c r="K101" s="27" t="s">
        <v>341</v>
      </c>
      <c r="L101" s="27"/>
      <c r="M101" s="27"/>
      <c r="N101" s="27"/>
      <c r="O101" s="27"/>
      <c r="P101" s="51">
        <v>38250</v>
      </c>
      <c r="Q101" s="28">
        <f t="shared" si="7"/>
        <v>38250</v>
      </c>
      <c r="R101" s="29" t="s">
        <v>50</v>
      </c>
      <c r="S101" s="28">
        <f t="shared" si="8"/>
        <v>-38250</v>
      </c>
      <c r="T101" s="27" t="s">
        <v>49</v>
      </c>
      <c r="U101" s="27" t="s">
        <v>49</v>
      </c>
      <c r="V101" s="27" t="s">
        <v>49</v>
      </c>
      <c r="W101" s="27" t="s">
        <v>49</v>
      </c>
      <c r="X101" s="27" t="s">
        <v>49</v>
      </c>
      <c r="Y101" s="31" t="s">
        <v>49</v>
      </c>
      <c r="Z101" s="31"/>
      <c r="AA101" s="31" t="s">
        <v>49</v>
      </c>
      <c r="AB101" s="31"/>
      <c r="AC101" s="31" t="s">
        <v>49</v>
      </c>
      <c r="AD101" s="32">
        <v>0</v>
      </c>
      <c r="AE101" s="33">
        <f t="shared" si="6"/>
        <v>0</v>
      </c>
      <c r="AF101" s="34">
        <v>0</v>
      </c>
      <c r="AG101" s="33">
        <f t="shared" si="9"/>
        <v>0</v>
      </c>
      <c r="AH101" s="34">
        <v>0</v>
      </c>
      <c r="AI101" s="33">
        <f t="shared" si="10"/>
        <v>0</v>
      </c>
      <c r="AJ101" s="34" t="s">
        <v>49</v>
      </c>
      <c r="AK101" s="34">
        <v>0</v>
      </c>
      <c r="AL101" s="33">
        <f t="shared" si="11"/>
        <v>0</v>
      </c>
      <c r="AM101" s="35"/>
      <c r="AN101" s="34" t="s">
        <v>49</v>
      </c>
      <c r="AO101" s="34" t="s">
        <v>49</v>
      </c>
      <c r="AP101" s="34" t="s">
        <v>49</v>
      </c>
      <c r="AQ101" s="34" t="s">
        <v>49</v>
      </c>
      <c r="AR101" s="34" t="s">
        <v>49</v>
      </c>
      <c r="AS101" s="27" t="s">
        <v>183</v>
      </c>
      <c r="AT101" s="34" t="s">
        <v>49</v>
      </c>
      <c r="AU101" s="73" t="s">
        <v>358</v>
      </c>
      <c r="AV101" s="79">
        <v>21000</v>
      </c>
      <c r="AY101" s="87"/>
    </row>
    <row r="102" spans="1:51" ht="37.5" x14ac:dyDescent="0.2">
      <c r="A102" s="44">
        <v>94</v>
      </c>
      <c r="B102" s="23" t="s">
        <v>52</v>
      </c>
      <c r="C102" s="24"/>
      <c r="D102" s="37"/>
      <c r="E102" s="26"/>
      <c r="F102" s="64" t="s">
        <v>202</v>
      </c>
      <c r="G102" s="57" t="s">
        <v>272</v>
      </c>
      <c r="H102" s="12"/>
      <c r="I102" s="12"/>
      <c r="J102" s="43">
        <v>1</v>
      </c>
      <c r="K102" s="27" t="s">
        <v>341</v>
      </c>
      <c r="L102" s="27"/>
      <c r="M102" s="27"/>
      <c r="N102" s="27"/>
      <c r="O102" s="27"/>
      <c r="P102" s="51">
        <v>9000</v>
      </c>
      <c r="Q102" s="28">
        <f t="shared" si="7"/>
        <v>9000</v>
      </c>
      <c r="R102" s="29" t="s">
        <v>50</v>
      </c>
      <c r="S102" s="28">
        <f t="shared" si="8"/>
        <v>-9000</v>
      </c>
      <c r="T102" s="27" t="s">
        <v>49</v>
      </c>
      <c r="U102" s="27" t="s">
        <v>49</v>
      </c>
      <c r="V102" s="27" t="s">
        <v>49</v>
      </c>
      <c r="W102" s="27" t="s">
        <v>49</v>
      </c>
      <c r="X102" s="27" t="s">
        <v>49</v>
      </c>
      <c r="Y102" s="31" t="s">
        <v>49</v>
      </c>
      <c r="Z102" s="31"/>
      <c r="AA102" s="31" t="s">
        <v>49</v>
      </c>
      <c r="AB102" s="31"/>
      <c r="AC102" s="31" t="s">
        <v>49</v>
      </c>
      <c r="AD102" s="32">
        <v>0</v>
      </c>
      <c r="AE102" s="33">
        <f t="shared" si="6"/>
        <v>0</v>
      </c>
      <c r="AF102" s="34">
        <v>0</v>
      </c>
      <c r="AG102" s="33">
        <f t="shared" si="9"/>
        <v>0</v>
      </c>
      <c r="AH102" s="34">
        <v>0</v>
      </c>
      <c r="AI102" s="33">
        <f t="shared" si="10"/>
        <v>0</v>
      </c>
      <c r="AJ102" s="34" t="s">
        <v>49</v>
      </c>
      <c r="AK102" s="34">
        <v>0</v>
      </c>
      <c r="AL102" s="33">
        <f t="shared" si="11"/>
        <v>0</v>
      </c>
      <c r="AM102" s="35"/>
      <c r="AN102" s="34" t="s">
        <v>49</v>
      </c>
      <c r="AO102" s="34" t="s">
        <v>49</v>
      </c>
      <c r="AP102" s="34" t="s">
        <v>49</v>
      </c>
      <c r="AQ102" s="34" t="s">
        <v>49</v>
      </c>
      <c r="AR102" s="34" t="s">
        <v>49</v>
      </c>
      <c r="AS102" s="27" t="s">
        <v>183</v>
      </c>
      <c r="AT102" s="34" t="s">
        <v>49</v>
      </c>
      <c r="AU102" s="73" t="s">
        <v>359</v>
      </c>
      <c r="AV102" s="68"/>
    </row>
    <row r="103" spans="1:51" ht="37.5" x14ac:dyDescent="0.2">
      <c r="A103" s="23">
        <v>95</v>
      </c>
      <c r="B103" s="23" t="s">
        <v>52</v>
      </c>
      <c r="C103" s="24"/>
      <c r="D103" s="37"/>
      <c r="E103" s="26"/>
      <c r="F103" s="64" t="s">
        <v>203</v>
      </c>
      <c r="G103" s="57" t="s">
        <v>273</v>
      </c>
      <c r="H103" s="12"/>
      <c r="I103" s="12"/>
      <c r="J103" s="43">
        <v>1</v>
      </c>
      <c r="K103" s="27" t="s">
        <v>341</v>
      </c>
      <c r="L103" s="27"/>
      <c r="M103" s="27"/>
      <c r="N103" s="27"/>
      <c r="O103" s="27"/>
      <c r="P103" s="51">
        <v>585958.5</v>
      </c>
      <c r="Q103" s="28">
        <f t="shared" si="7"/>
        <v>585958.5</v>
      </c>
      <c r="R103" s="29" t="s">
        <v>50</v>
      </c>
      <c r="S103" s="28">
        <f t="shared" si="8"/>
        <v>-585958.5</v>
      </c>
      <c r="T103" s="27" t="s">
        <v>49</v>
      </c>
      <c r="U103" s="27" t="s">
        <v>49</v>
      </c>
      <c r="V103" s="27" t="s">
        <v>49</v>
      </c>
      <c r="W103" s="27" t="s">
        <v>49</v>
      </c>
      <c r="X103" s="27" t="s">
        <v>49</v>
      </c>
      <c r="Y103" s="31" t="s">
        <v>49</v>
      </c>
      <c r="Z103" s="31"/>
      <c r="AA103" s="31" t="s">
        <v>49</v>
      </c>
      <c r="AB103" s="31"/>
      <c r="AC103" s="31" t="s">
        <v>49</v>
      </c>
      <c r="AD103" s="32">
        <v>0</v>
      </c>
      <c r="AE103" s="33">
        <f t="shared" si="6"/>
        <v>0</v>
      </c>
      <c r="AF103" s="34">
        <v>0</v>
      </c>
      <c r="AG103" s="33">
        <f t="shared" si="9"/>
        <v>0</v>
      </c>
      <c r="AH103" s="34">
        <v>0</v>
      </c>
      <c r="AI103" s="33">
        <f t="shared" si="10"/>
        <v>0</v>
      </c>
      <c r="AJ103" s="34" t="s">
        <v>49</v>
      </c>
      <c r="AK103" s="34">
        <v>0</v>
      </c>
      <c r="AL103" s="33">
        <f t="shared" si="11"/>
        <v>0</v>
      </c>
      <c r="AM103" s="35"/>
      <c r="AN103" s="34" t="s">
        <v>49</v>
      </c>
      <c r="AO103" s="34" t="s">
        <v>49</v>
      </c>
      <c r="AP103" s="34" t="s">
        <v>49</v>
      </c>
      <c r="AQ103" s="34" t="s">
        <v>49</v>
      </c>
      <c r="AR103" s="34" t="s">
        <v>49</v>
      </c>
      <c r="AS103" s="27" t="s">
        <v>183</v>
      </c>
      <c r="AT103" s="34" t="s">
        <v>49</v>
      </c>
      <c r="AU103" s="73" t="s">
        <v>356</v>
      </c>
      <c r="AV103" s="68"/>
    </row>
    <row r="104" spans="1:51" x14ac:dyDescent="0.2">
      <c r="A104" s="23">
        <v>96</v>
      </c>
      <c r="B104" s="23" t="s">
        <v>52</v>
      </c>
      <c r="C104" s="24"/>
      <c r="D104" s="37"/>
      <c r="E104" s="26"/>
      <c r="F104" s="64" t="s">
        <v>77</v>
      </c>
      <c r="G104" s="57" t="s">
        <v>274</v>
      </c>
      <c r="H104" s="12"/>
      <c r="I104" s="12"/>
      <c r="J104" s="43">
        <v>2</v>
      </c>
      <c r="K104" s="27" t="s">
        <v>341</v>
      </c>
      <c r="L104" s="27"/>
      <c r="M104" s="27"/>
      <c r="N104" s="27"/>
      <c r="O104" s="27"/>
      <c r="P104" s="51">
        <v>1800000</v>
      </c>
      <c r="Q104" s="28">
        <f t="shared" si="7"/>
        <v>3600000</v>
      </c>
      <c r="R104" s="29" t="s">
        <v>50</v>
      </c>
      <c r="S104" s="28">
        <f t="shared" si="8"/>
        <v>-3600000</v>
      </c>
      <c r="T104" s="27" t="s">
        <v>49</v>
      </c>
      <c r="U104" s="27" t="s">
        <v>49</v>
      </c>
      <c r="V104" s="27" t="s">
        <v>49</v>
      </c>
      <c r="W104" s="27" t="s">
        <v>49</v>
      </c>
      <c r="X104" s="27" t="s">
        <v>49</v>
      </c>
      <c r="Y104" s="31" t="s">
        <v>49</v>
      </c>
      <c r="Z104" s="31"/>
      <c r="AA104" s="31" t="s">
        <v>49</v>
      </c>
      <c r="AB104" s="31"/>
      <c r="AC104" s="31" t="s">
        <v>49</v>
      </c>
      <c r="AD104" s="32">
        <v>0</v>
      </c>
      <c r="AE104" s="33">
        <f t="shared" si="6"/>
        <v>0</v>
      </c>
      <c r="AF104" s="34">
        <v>0</v>
      </c>
      <c r="AG104" s="33">
        <f t="shared" si="9"/>
        <v>0</v>
      </c>
      <c r="AH104" s="34">
        <v>0</v>
      </c>
      <c r="AI104" s="33">
        <f t="shared" si="10"/>
        <v>0</v>
      </c>
      <c r="AJ104" s="34" t="s">
        <v>49</v>
      </c>
      <c r="AK104" s="34">
        <v>0</v>
      </c>
      <c r="AL104" s="33">
        <f t="shared" si="11"/>
        <v>0</v>
      </c>
      <c r="AM104" s="35"/>
      <c r="AN104" s="34" t="s">
        <v>49</v>
      </c>
      <c r="AO104" s="34" t="s">
        <v>49</v>
      </c>
      <c r="AP104" s="34" t="s">
        <v>49</v>
      </c>
      <c r="AQ104" s="34" t="s">
        <v>49</v>
      </c>
      <c r="AR104" s="34" t="s">
        <v>49</v>
      </c>
      <c r="AS104" s="27" t="s">
        <v>183</v>
      </c>
      <c r="AT104" s="34" t="s">
        <v>49</v>
      </c>
      <c r="AU104" s="73" t="s">
        <v>366</v>
      </c>
      <c r="AV104" s="68"/>
    </row>
    <row r="105" spans="1:51" ht="56.25" x14ac:dyDescent="0.2">
      <c r="A105" s="23">
        <v>97</v>
      </c>
      <c r="B105" s="23" t="s">
        <v>52</v>
      </c>
      <c r="C105" s="24"/>
      <c r="D105" s="37"/>
      <c r="E105" s="26"/>
      <c r="F105" s="64" t="s">
        <v>199</v>
      </c>
      <c r="G105" s="57" t="s">
        <v>275</v>
      </c>
      <c r="H105" s="12"/>
      <c r="I105" s="12"/>
      <c r="J105" s="43">
        <v>1</v>
      </c>
      <c r="K105" s="27" t="s">
        <v>341</v>
      </c>
      <c r="L105" s="27"/>
      <c r="M105" s="27"/>
      <c r="N105" s="27"/>
      <c r="O105" s="27"/>
      <c r="P105" s="51">
        <v>10350000</v>
      </c>
      <c r="Q105" s="28">
        <f t="shared" si="7"/>
        <v>10350000</v>
      </c>
      <c r="R105" s="29" t="s">
        <v>50</v>
      </c>
      <c r="S105" s="28">
        <f t="shared" si="8"/>
        <v>-10350000</v>
      </c>
      <c r="T105" s="27" t="s">
        <v>49</v>
      </c>
      <c r="U105" s="27" t="s">
        <v>49</v>
      </c>
      <c r="V105" s="27" t="s">
        <v>49</v>
      </c>
      <c r="W105" s="27" t="s">
        <v>49</v>
      </c>
      <c r="X105" s="27" t="s">
        <v>49</v>
      </c>
      <c r="Y105" s="31" t="s">
        <v>49</v>
      </c>
      <c r="Z105" s="31"/>
      <c r="AA105" s="31" t="s">
        <v>49</v>
      </c>
      <c r="AB105" s="31"/>
      <c r="AC105" s="31" t="s">
        <v>49</v>
      </c>
      <c r="AD105" s="32">
        <v>0</v>
      </c>
      <c r="AE105" s="33">
        <f t="shared" si="6"/>
        <v>0</v>
      </c>
      <c r="AF105" s="34">
        <v>0</v>
      </c>
      <c r="AG105" s="33">
        <f t="shared" si="9"/>
        <v>0</v>
      </c>
      <c r="AH105" s="34">
        <v>0</v>
      </c>
      <c r="AI105" s="33">
        <f t="shared" si="10"/>
        <v>0</v>
      </c>
      <c r="AJ105" s="34" t="s">
        <v>49</v>
      </c>
      <c r="AK105" s="34">
        <v>0</v>
      </c>
      <c r="AL105" s="33">
        <f t="shared" si="11"/>
        <v>0</v>
      </c>
      <c r="AM105" s="35"/>
      <c r="AN105" s="34" t="s">
        <v>49</v>
      </c>
      <c r="AO105" s="34" t="s">
        <v>49</v>
      </c>
      <c r="AP105" s="34" t="s">
        <v>49</v>
      </c>
      <c r="AQ105" s="34" t="s">
        <v>49</v>
      </c>
      <c r="AR105" s="34" t="s">
        <v>49</v>
      </c>
      <c r="AS105" s="27" t="s">
        <v>183</v>
      </c>
      <c r="AT105" s="34" t="s">
        <v>49</v>
      </c>
      <c r="AU105" s="73" t="s">
        <v>366</v>
      </c>
      <c r="AV105" s="68"/>
    </row>
    <row r="106" spans="1:51" ht="112.5" x14ac:dyDescent="0.2">
      <c r="A106" s="23">
        <v>98</v>
      </c>
      <c r="B106" s="23" t="s">
        <v>52</v>
      </c>
      <c r="C106" s="24"/>
      <c r="D106" s="37"/>
      <c r="E106" s="26"/>
      <c r="F106" s="64" t="s">
        <v>204</v>
      </c>
      <c r="G106" s="57" t="s">
        <v>276</v>
      </c>
      <c r="H106" s="12"/>
      <c r="I106" s="12"/>
      <c r="J106" s="43">
        <v>1</v>
      </c>
      <c r="K106" s="27" t="s">
        <v>341</v>
      </c>
      <c r="L106" s="27"/>
      <c r="M106" s="27"/>
      <c r="N106" s="27"/>
      <c r="O106" s="27"/>
      <c r="P106" s="51">
        <v>90000000</v>
      </c>
      <c r="Q106" s="28">
        <f t="shared" si="7"/>
        <v>90000000</v>
      </c>
      <c r="R106" s="29" t="s">
        <v>50</v>
      </c>
      <c r="S106" s="28">
        <f t="shared" si="8"/>
        <v>-90000000</v>
      </c>
      <c r="T106" s="27" t="s">
        <v>49</v>
      </c>
      <c r="U106" s="27" t="s">
        <v>49</v>
      </c>
      <c r="V106" s="27" t="s">
        <v>49</v>
      </c>
      <c r="W106" s="27" t="s">
        <v>49</v>
      </c>
      <c r="X106" s="27" t="s">
        <v>49</v>
      </c>
      <c r="Y106" s="31" t="s">
        <v>49</v>
      </c>
      <c r="Z106" s="31"/>
      <c r="AA106" s="31" t="s">
        <v>49</v>
      </c>
      <c r="AB106" s="31"/>
      <c r="AC106" s="31" t="s">
        <v>49</v>
      </c>
      <c r="AD106" s="32">
        <v>0</v>
      </c>
      <c r="AE106" s="33">
        <f t="shared" si="6"/>
        <v>0</v>
      </c>
      <c r="AF106" s="34">
        <v>0</v>
      </c>
      <c r="AG106" s="33">
        <f t="shared" si="9"/>
        <v>0</v>
      </c>
      <c r="AH106" s="34">
        <v>0</v>
      </c>
      <c r="AI106" s="33">
        <f t="shared" si="10"/>
        <v>0</v>
      </c>
      <c r="AJ106" s="34" t="s">
        <v>49</v>
      </c>
      <c r="AK106" s="34">
        <v>0</v>
      </c>
      <c r="AL106" s="33">
        <f t="shared" si="11"/>
        <v>0</v>
      </c>
      <c r="AM106" s="35"/>
      <c r="AN106" s="34" t="s">
        <v>49</v>
      </c>
      <c r="AO106" s="34" t="s">
        <v>49</v>
      </c>
      <c r="AP106" s="34" t="s">
        <v>49</v>
      </c>
      <c r="AQ106" s="34" t="s">
        <v>49</v>
      </c>
      <c r="AR106" s="34" t="s">
        <v>49</v>
      </c>
      <c r="AS106" s="27" t="s">
        <v>183</v>
      </c>
      <c r="AT106" s="34" t="s">
        <v>49</v>
      </c>
      <c r="AU106" s="73" t="s">
        <v>356</v>
      </c>
      <c r="AV106" s="68"/>
    </row>
    <row r="107" spans="1:51" ht="93.75" x14ac:dyDescent="0.2">
      <c r="A107" s="23">
        <v>99</v>
      </c>
      <c r="B107" s="23" t="s">
        <v>52</v>
      </c>
      <c r="C107" s="24"/>
      <c r="D107" s="37"/>
      <c r="E107" s="26"/>
      <c r="F107" s="64" t="s">
        <v>205</v>
      </c>
      <c r="G107" s="100" t="s">
        <v>277</v>
      </c>
      <c r="H107" s="12"/>
      <c r="I107" s="12"/>
      <c r="J107" s="43">
        <v>1</v>
      </c>
      <c r="K107" s="27" t="s">
        <v>341</v>
      </c>
      <c r="L107" s="27"/>
      <c r="M107" s="27"/>
      <c r="N107" s="27"/>
      <c r="O107" s="27"/>
      <c r="P107" s="51">
        <v>2790000</v>
      </c>
      <c r="Q107" s="28">
        <f t="shared" si="7"/>
        <v>2790000</v>
      </c>
      <c r="R107" s="29" t="s">
        <v>50</v>
      </c>
      <c r="S107" s="28">
        <f t="shared" si="8"/>
        <v>-2790000</v>
      </c>
      <c r="T107" s="27" t="s">
        <v>49</v>
      </c>
      <c r="U107" s="27" t="s">
        <v>49</v>
      </c>
      <c r="V107" s="27" t="s">
        <v>49</v>
      </c>
      <c r="W107" s="27" t="s">
        <v>49</v>
      </c>
      <c r="X107" s="27" t="s">
        <v>49</v>
      </c>
      <c r="Y107" s="31" t="s">
        <v>49</v>
      </c>
      <c r="Z107" s="31"/>
      <c r="AA107" s="31" t="s">
        <v>49</v>
      </c>
      <c r="AB107" s="31"/>
      <c r="AC107" s="31" t="s">
        <v>49</v>
      </c>
      <c r="AD107" s="32">
        <v>0</v>
      </c>
      <c r="AE107" s="33">
        <f t="shared" si="6"/>
        <v>0</v>
      </c>
      <c r="AF107" s="34">
        <v>0</v>
      </c>
      <c r="AG107" s="33">
        <f t="shared" si="9"/>
        <v>0</v>
      </c>
      <c r="AH107" s="34">
        <v>0</v>
      </c>
      <c r="AI107" s="33">
        <f t="shared" si="10"/>
        <v>0</v>
      </c>
      <c r="AJ107" s="34" t="s">
        <v>49</v>
      </c>
      <c r="AK107" s="34">
        <v>0</v>
      </c>
      <c r="AL107" s="33">
        <f t="shared" si="11"/>
        <v>0</v>
      </c>
      <c r="AM107" s="35"/>
      <c r="AN107" s="34" t="s">
        <v>49</v>
      </c>
      <c r="AO107" s="34" t="s">
        <v>49</v>
      </c>
      <c r="AP107" s="34" t="s">
        <v>49</v>
      </c>
      <c r="AQ107" s="34" t="s">
        <v>49</v>
      </c>
      <c r="AR107" s="34" t="s">
        <v>49</v>
      </c>
      <c r="AS107" s="27" t="s">
        <v>183</v>
      </c>
      <c r="AT107" s="34" t="s">
        <v>49</v>
      </c>
      <c r="AU107" s="73" t="s">
        <v>356</v>
      </c>
      <c r="AV107" s="68"/>
    </row>
    <row r="108" spans="1:51" ht="75" x14ac:dyDescent="0.2">
      <c r="A108" s="23">
        <v>100</v>
      </c>
      <c r="B108" s="23" t="s">
        <v>52</v>
      </c>
      <c r="C108" s="24"/>
      <c r="D108" s="37"/>
      <c r="E108" s="26"/>
      <c r="F108" s="64" t="s">
        <v>206</v>
      </c>
      <c r="G108" s="100" t="s">
        <v>278</v>
      </c>
      <c r="H108" s="12"/>
      <c r="I108" s="12"/>
      <c r="J108" s="43">
        <v>1</v>
      </c>
      <c r="K108" s="27" t="s">
        <v>341</v>
      </c>
      <c r="L108" s="27"/>
      <c r="M108" s="27"/>
      <c r="N108" s="27"/>
      <c r="O108" s="27"/>
      <c r="P108" s="51">
        <v>16897500</v>
      </c>
      <c r="Q108" s="28">
        <f t="shared" si="7"/>
        <v>16897500</v>
      </c>
      <c r="R108" s="29" t="s">
        <v>50</v>
      </c>
      <c r="S108" s="28">
        <f t="shared" si="8"/>
        <v>-16897500</v>
      </c>
      <c r="T108" s="27" t="s">
        <v>49</v>
      </c>
      <c r="U108" s="27" t="s">
        <v>49</v>
      </c>
      <c r="V108" s="27" t="s">
        <v>49</v>
      </c>
      <c r="W108" s="27" t="s">
        <v>49</v>
      </c>
      <c r="X108" s="27" t="s">
        <v>49</v>
      </c>
      <c r="Y108" s="31" t="s">
        <v>49</v>
      </c>
      <c r="Z108" s="31"/>
      <c r="AA108" s="31" t="s">
        <v>49</v>
      </c>
      <c r="AB108" s="31"/>
      <c r="AC108" s="31" t="s">
        <v>49</v>
      </c>
      <c r="AD108" s="32">
        <v>0</v>
      </c>
      <c r="AE108" s="33">
        <f t="shared" ref="AE108:AE171" si="12">C108*AD108</f>
        <v>0</v>
      </c>
      <c r="AF108" s="34">
        <v>0</v>
      </c>
      <c r="AG108" s="33">
        <f t="shared" si="9"/>
        <v>0</v>
      </c>
      <c r="AH108" s="34">
        <v>0</v>
      </c>
      <c r="AI108" s="33">
        <f t="shared" si="10"/>
        <v>0</v>
      </c>
      <c r="AJ108" s="34" t="s">
        <v>49</v>
      </c>
      <c r="AK108" s="34">
        <v>0</v>
      </c>
      <c r="AL108" s="33">
        <f t="shared" si="11"/>
        <v>0</v>
      </c>
      <c r="AM108" s="35"/>
      <c r="AN108" s="34" t="s">
        <v>49</v>
      </c>
      <c r="AO108" s="34" t="s">
        <v>49</v>
      </c>
      <c r="AP108" s="34" t="s">
        <v>49</v>
      </c>
      <c r="AQ108" s="34" t="s">
        <v>49</v>
      </c>
      <c r="AR108" s="34" t="s">
        <v>49</v>
      </c>
      <c r="AS108" s="27" t="s">
        <v>183</v>
      </c>
      <c r="AT108" s="34" t="s">
        <v>49</v>
      </c>
      <c r="AU108" s="73" t="s">
        <v>356</v>
      </c>
      <c r="AV108" s="68"/>
    </row>
    <row r="109" spans="1:51" ht="131.25" x14ac:dyDescent="0.2">
      <c r="A109" s="23">
        <v>101</v>
      </c>
      <c r="B109" s="23" t="s">
        <v>52</v>
      </c>
      <c r="C109" s="24"/>
      <c r="D109" s="37"/>
      <c r="E109" s="26"/>
      <c r="F109" s="64" t="s">
        <v>207</v>
      </c>
      <c r="G109" s="57" t="s">
        <v>279</v>
      </c>
      <c r="H109" s="12"/>
      <c r="I109" s="12"/>
      <c r="J109" s="43">
        <v>1</v>
      </c>
      <c r="K109" s="27" t="s">
        <v>341</v>
      </c>
      <c r="L109" s="27"/>
      <c r="M109" s="27"/>
      <c r="N109" s="27"/>
      <c r="O109" s="27"/>
      <c r="P109" s="51">
        <v>20000000</v>
      </c>
      <c r="Q109" s="28">
        <f t="shared" si="7"/>
        <v>20000000</v>
      </c>
      <c r="R109" s="29" t="s">
        <v>50</v>
      </c>
      <c r="S109" s="28">
        <f t="shared" si="8"/>
        <v>-20000000</v>
      </c>
      <c r="T109" s="27" t="s">
        <v>49</v>
      </c>
      <c r="U109" s="27" t="s">
        <v>49</v>
      </c>
      <c r="V109" s="27" t="s">
        <v>49</v>
      </c>
      <c r="W109" s="27" t="s">
        <v>49</v>
      </c>
      <c r="X109" s="27" t="s">
        <v>49</v>
      </c>
      <c r="Y109" s="31" t="s">
        <v>49</v>
      </c>
      <c r="Z109" s="31"/>
      <c r="AA109" s="31" t="s">
        <v>49</v>
      </c>
      <c r="AB109" s="31"/>
      <c r="AC109" s="31" t="s">
        <v>49</v>
      </c>
      <c r="AD109" s="32">
        <v>0</v>
      </c>
      <c r="AE109" s="33">
        <f t="shared" si="12"/>
        <v>0</v>
      </c>
      <c r="AF109" s="34">
        <v>0</v>
      </c>
      <c r="AG109" s="33">
        <f t="shared" si="9"/>
        <v>0</v>
      </c>
      <c r="AH109" s="34">
        <v>0</v>
      </c>
      <c r="AI109" s="33">
        <f t="shared" si="10"/>
        <v>0</v>
      </c>
      <c r="AJ109" s="34" t="s">
        <v>49</v>
      </c>
      <c r="AK109" s="34">
        <v>0</v>
      </c>
      <c r="AL109" s="33">
        <f t="shared" si="11"/>
        <v>0</v>
      </c>
      <c r="AM109" s="35"/>
      <c r="AN109" s="34" t="s">
        <v>49</v>
      </c>
      <c r="AO109" s="34" t="s">
        <v>49</v>
      </c>
      <c r="AP109" s="34" t="s">
        <v>49</v>
      </c>
      <c r="AQ109" s="34" t="s">
        <v>49</v>
      </c>
      <c r="AR109" s="34" t="s">
        <v>49</v>
      </c>
      <c r="AS109" s="27" t="s">
        <v>183</v>
      </c>
      <c r="AT109" s="34" t="s">
        <v>49</v>
      </c>
      <c r="AU109" s="73" t="s">
        <v>357</v>
      </c>
      <c r="AV109" s="68"/>
    </row>
    <row r="110" spans="1:51" ht="75" x14ac:dyDescent="0.2">
      <c r="A110" s="23">
        <v>102</v>
      </c>
      <c r="B110" s="23" t="s">
        <v>52</v>
      </c>
      <c r="C110" s="24"/>
      <c r="D110" s="37"/>
      <c r="E110" s="26"/>
      <c r="F110" s="64" t="s">
        <v>208</v>
      </c>
      <c r="G110" s="57" t="s">
        <v>280</v>
      </c>
      <c r="H110" s="12"/>
      <c r="I110" s="12"/>
      <c r="J110" s="43">
        <v>1</v>
      </c>
      <c r="K110" s="27" t="s">
        <v>341</v>
      </c>
      <c r="L110" s="27"/>
      <c r="M110" s="27"/>
      <c r="N110" s="27"/>
      <c r="O110" s="27"/>
      <c r="P110" s="51">
        <v>4050000</v>
      </c>
      <c r="Q110" s="28">
        <f t="shared" si="7"/>
        <v>4050000</v>
      </c>
      <c r="R110" s="29" t="s">
        <v>50</v>
      </c>
      <c r="S110" s="28">
        <f t="shared" si="8"/>
        <v>-4050000</v>
      </c>
      <c r="T110" s="27" t="s">
        <v>49</v>
      </c>
      <c r="U110" s="27" t="s">
        <v>49</v>
      </c>
      <c r="V110" s="27" t="s">
        <v>49</v>
      </c>
      <c r="W110" s="27" t="s">
        <v>49</v>
      </c>
      <c r="X110" s="27" t="s">
        <v>49</v>
      </c>
      <c r="Y110" s="31" t="s">
        <v>49</v>
      </c>
      <c r="Z110" s="31"/>
      <c r="AA110" s="31" t="s">
        <v>49</v>
      </c>
      <c r="AB110" s="31"/>
      <c r="AC110" s="31" t="s">
        <v>49</v>
      </c>
      <c r="AD110" s="32">
        <v>0</v>
      </c>
      <c r="AE110" s="33">
        <f t="shared" si="12"/>
        <v>0</v>
      </c>
      <c r="AF110" s="34">
        <v>0</v>
      </c>
      <c r="AG110" s="33">
        <f t="shared" si="9"/>
        <v>0</v>
      </c>
      <c r="AH110" s="34">
        <v>0</v>
      </c>
      <c r="AI110" s="33">
        <f t="shared" si="10"/>
        <v>0</v>
      </c>
      <c r="AJ110" s="34" t="s">
        <v>49</v>
      </c>
      <c r="AK110" s="34">
        <v>0</v>
      </c>
      <c r="AL110" s="33">
        <f t="shared" si="11"/>
        <v>0</v>
      </c>
      <c r="AM110" s="35"/>
      <c r="AN110" s="34" t="s">
        <v>49</v>
      </c>
      <c r="AO110" s="34" t="s">
        <v>49</v>
      </c>
      <c r="AP110" s="34" t="s">
        <v>49</v>
      </c>
      <c r="AQ110" s="34" t="s">
        <v>49</v>
      </c>
      <c r="AR110" s="34" t="s">
        <v>49</v>
      </c>
      <c r="AS110" s="27" t="s">
        <v>183</v>
      </c>
      <c r="AT110" s="34" t="s">
        <v>49</v>
      </c>
      <c r="AU110" s="73" t="s">
        <v>358</v>
      </c>
      <c r="AV110" s="68"/>
    </row>
    <row r="111" spans="1:51" ht="75" x14ac:dyDescent="0.2">
      <c r="A111" s="23">
        <v>103</v>
      </c>
      <c r="B111" s="23" t="s">
        <v>52</v>
      </c>
      <c r="C111" s="24"/>
      <c r="D111" s="37"/>
      <c r="E111" s="26"/>
      <c r="F111" s="64" t="s">
        <v>209</v>
      </c>
      <c r="G111" s="57" t="s">
        <v>281</v>
      </c>
      <c r="H111" s="12"/>
      <c r="I111" s="12"/>
      <c r="J111" s="43">
        <v>1</v>
      </c>
      <c r="K111" s="27" t="s">
        <v>341</v>
      </c>
      <c r="L111" s="27"/>
      <c r="M111" s="27"/>
      <c r="N111" s="27"/>
      <c r="O111" s="27"/>
      <c r="P111" s="51">
        <v>4050000</v>
      </c>
      <c r="Q111" s="28">
        <f t="shared" si="7"/>
        <v>4050000</v>
      </c>
      <c r="R111" s="29" t="s">
        <v>50</v>
      </c>
      <c r="S111" s="28">
        <f t="shared" si="8"/>
        <v>-4050000</v>
      </c>
      <c r="T111" s="27" t="s">
        <v>49</v>
      </c>
      <c r="U111" s="27" t="s">
        <v>49</v>
      </c>
      <c r="V111" s="27" t="s">
        <v>49</v>
      </c>
      <c r="W111" s="27" t="s">
        <v>49</v>
      </c>
      <c r="X111" s="27" t="s">
        <v>49</v>
      </c>
      <c r="Y111" s="31" t="s">
        <v>49</v>
      </c>
      <c r="Z111" s="31"/>
      <c r="AA111" s="31" t="s">
        <v>49</v>
      </c>
      <c r="AB111" s="31"/>
      <c r="AC111" s="31" t="s">
        <v>49</v>
      </c>
      <c r="AD111" s="32">
        <v>0</v>
      </c>
      <c r="AE111" s="33">
        <f t="shared" si="12"/>
        <v>0</v>
      </c>
      <c r="AF111" s="34">
        <v>0</v>
      </c>
      <c r="AG111" s="33">
        <f t="shared" si="9"/>
        <v>0</v>
      </c>
      <c r="AH111" s="34">
        <v>0</v>
      </c>
      <c r="AI111" s="33">
        <f t="shared" si="10"/>
        <v>0</v>
      </c>
      <c r="AJ111" s="34" t="s">
        <v>49</v>
      </c>
      <c r="AK111" s="34">
        <v>0</v>
      </c>
      <c r="AL111" s="33">
        <f t="shared" si="11"/>
        <v>0</v>
      </c>
      <c r="AM111" s="35"/>
      <c r="AN111" s="34" t="s">
        <v>49</v>
      </c>
      <c r="AO111" s="34" t="s">
        <v>49</v>
      </c>
      <c r="AP111" s="34" t="s">
        <v>49</v>
      </c>
      <c r="AQ111" s="34" t="s">
        <v>49</v>
      </c>
      <c r="AR111" s="34" t="s">
        <v>49</v>
      </c>
      <c r="AS111" s="27" t="s">
        <v>183</v>
      </c>
      <c r="AT111" s="34" t="s">
        <v>49</v>
      </c>
      <c r="AU111" s="73" t="s">
        <v>358</v>
      </c>
      <c r="AV111" s="68"/>
    </row>
    <row r="112" spans="1:51" ht="110.25" x14ac:dyDescent="0.2">
      <c r="A112" s="23">
        <v>104</v>
      </c>
      <c r="B112" s="23" t="s">
        <v>52</v>
      </c>
      <c r="C112" s="24"/>
      <c r="D112" s="37"/>
      <c r="E112" s="26"/>
      <c r="F112" s="64" t="s">
        <v>210</v>
      </c>
      <c r="G112" s="57" t="s">
        <v>282</v>
      </c>
      <c r="H112" s="12"/>
      <c r="I112" s="12"/>
      <c r="J112" s="43">
        <v>1</v>
      </c>
      <c r="K112" s="27" t="s">
        <v>341</v>
      </c>
      <c r="L112" s="27"/>
      <c r="M112" s="27"/>
      <c r="N112" s="27"/>
      <c r="O112" s="27"/>
      <c r="P112" s="51">
        <v>63562500</v>
      </c>
      <c r="Q112" s="28">
        <f t="shared" si="7"/>
        <v>63562500</v>
      </c>
      <c r="R112" s="29" t="s">
        <v>50</v>
      </c>
      <c r="S112" s="28">
        <f t="shared" si="8"/>
        <v>-63562500</v>
      </c>
      <c r="T112" s="27" t="s">
        <v>49</v>
      </c>
      <c r="U112" s="27" t="s">
        <v>49</v>
      </c>
      <c r="V112" s="27" t="s">
        <v>49</v>
      </c>
      <c r="W112" s="27" t="s">
        <v>49</v>
      </c>
      <c r="X112" s="27" t="s">
        <v>49</v>
      </c>
      <c r="Y112" s="31" t="s">
        <v>49</v>
      </c>
      <c r="Z112" s="31"/>
      <c r="AA112" s="31" t="s">
        <v>49</v>
      </c>
      <c r="AB112" s="31"/>
      <c r="AC112" s="31" t="s">
        <v>49</v>
      </c>
      <c r="AD112" s="32">
        <v>0</v>
      </c>
      <c r="AE112" s="33">
        <f t="shared" si="12"/>
        <v>0</v>
      </c>
      <c r="AF112" s="34">
        <v>0</v>
      </c>
      <c r="AG112" s="33">
        <f t="shared" si="9"/>
        <v>0</v>
      </c>
      <c r="AH112" s="34">
        <v>0</v>
      </c>
      <c r="AI112" s="33">
        <f t="shared" si="10"/>
        <v>0</v>
      </c>
      <c r="AJ112" s="34" t="s">
        <v>49</v>
      </c>
      <c r="AK112" s="34">
        <v>0</v>
      </c>
      <c r="AL112" s="33">
        <f t="shared" si="11"/>
        <v>0</v>
      </c>
      <c r="AM112" s="35"/>
      <c r="AN112" s="34" t="s">
        <v>49</v>
      </c>
      <c r="AO112" s="34" t="s">
        <v>49</v>
      </c>
      <c r="AP112" s="34" t="s">
        <v>49</v>
      </c>
      <c r="AQ112" s="34" t="s">
        <v>49</v>
      </c>
      <c r="AR112" s="34" t="s">
        <v>49</v>
      </c>
      <c r="AS112" s="27" t="s">
        <v>183</v>
      </c>
      <c r="AT112" s="34" t="s">
        <v>49</v>
      </c>
      <c r="AU112" s="73" t="s">
        <v>356</v>
      </c>
      <c r="AV112" s="68"/>
    </row>
    <row r="113" spans="1:51" ht="75" x14ac:dyDescent="0.25">
      <c r="A113" s="23">
        <v>105</v>
      </c>
      <c r="B113" s="23" t="s">
        <v>52</v>
      </c>
      <c r="C113" s="24"/>
      <c r="D113" s="37"/>
      <c r="E113" s="26"/>
      <c r="F113" s="64" t="s">
        <v>208</v>
      </c>
      <c r="G113" s="57" t="s">
        <v>283</v>
      </c>
      <c r="H113" s="12"/>
      <c r="I113" s="12"/>
      <c r="J113" s="43">
        <v>1</v>
      </c>
      <c r="K113" s="27" t="s">
        <v>341</v>
      </c>
      <c r="L113" s="27"/>
      <c r="M113" s="27"/>
      <c r="N113" s="27"/>
      <c r="O113" s="27"/>
      <c r="P113" s="51">
        <v>4050000</v>
      </c>
      <c r="Q113" s="28">
        <f t="shared" si="7"/>
        <v>4050000</v>
      </c>
      <c r="R113" s="29" t="s">
        <v>50</v>
      </c>
      <c r="S113" s="28">
        <f t="shared" si="8"/>
        <v>-4050000</v>
      </c>
      <c r="T113" s="27" t="s">
        <v>49</v>
      </c>
      <c r="U113" s="27" t="s">
        <v>49</v>
      </c>
      <c r="V113" s="27" t="s">
        <v>49</v>
      </c>
      <c r="W113" s="27" t="s">
        <v>49</v>
      </c>
      <c r="X113" s="27" t="s">
        <v>49</v>
      </c>
      <c r="Y113" s="31" t="s">
        <v>49</v>
      </c>
      <c r="Z113" s="31"/>
      <c r="AA113" s="31" t="s">
        <v>49</v>
      </c>
      <c r="AB113" s="31"/>
      <c r="AC113" s="31" t="s">
        <v>49</v>
      </c>
      <c r="AD113" s="32">
        <v>0</v>
      </c>
      <c r="AE113" s="33">
        <f t="shared" si="12"/>
        <v>0</v>
      </c>
      <c r="AF113" s="34">
        <v>0</v>
      </c>
      <c r="AG113" s="33">
        <f t="shared" si="9"/>
        <v>0</v>
      </c>
      <c r="AH113" s="34">
        <v>0</v>
      </c>
      <c r="AI113" s="33">
        <f t="shared" si="10"/>
        <v>0</v>
      </c>
      <c r="AJ113" s="34" t="s">
        <v>49</v>
      </c>
      <c r="AK113" s="34">
        <v>0</v>
      </c>
      <c r="AL113" s="33">
        <f t="shared" si="11"/>
        <v>0</v>
      </c>
      <c r="AM113" s="35"/>
      <c r="AN113" s="34" t="s">
        <v>49</v>
      </c>
      <c r="AO113" s="34" t="s">
        <v>49</v>
      </c>
      <c r="AP113" s="34" t="s">
        <v>49</v>
      </c>
      <c r="AQ113" s="34" t="s">
        <v>49</v>
      </c>
      <c r="AR113" s="34" t="s">
        <v>49</v>
      </c>
      <c r="AS113" s="27" t="s">
        <v>183</v>
      </c>
      <c r="AT113" s="34" t="s">
        <v>49</v>
      </c>
      <c r="AU113" s="73" t="s">
        <v>358</v>
      </c>
      <c r="AV113" s="68" t="s">
        <v>392</v>
      </c>
      <c r="AW113" s="1" t="s">
        <v>400</v>
      </c>
      <c r="AX113" s="1" t="s">
        <v>399</v>
      </c>
      <c r="AY113" s="81" t="s">
        <v>402</v>
      </c>
    </row>
    <row r="114" spans="1:51" ht="56.25" x14ac:dyDescent="0.2">
      <c r="A114" s="23">
        <v>106</v>
      </c>
      <c r="B114" s="23" t="s">
        <v>52</v>
      </c>
      <c r="C114" s="24"/>
      <c r="D114" s="37"/>
      <c r="E114" s="26"/>
      <c r="F114" s="64" t="s">
        <v>211</v>
      </c>
      <c r="G114" s="57" t="s">
        <v>284</v>
      </c>
      <c r="H114" s="12"/>
      <c r="I114" s="12"/>
      <c r="J114" s="43">
        <v>1</v>
      </c>
      <c r="K114" s="27" t="s">
        <v>341</v>
      </c>
      <c r="L114" s="27"/>
      <c r="M114" s="27"/>
      <c r="N114" s="27"/>
      <c r="O114" s="27"/>
      <c r="P114" s="51">
        <v>990000</v>
      </c>
      <c r="Q114" s="28">
        <f t="shared" si="7"/>
        <v>990000</v>
      </c>
      <c r="R114" s="29" t="s">
        <v>50</v>
      </c>
      <c r="S114" s="28">
        <f t="shared" si="8"/>
        <v>-990000</v>
      </c>
      <c r="T114" s="27" t="s">
        <v>49</v>
      </c>
      <c r="U114" s="27" t="s">
        <v>49</v>
      </c>
      <c r="V114" s="27" t="s">
        <v>49</v>
      </c>
      <c r="W114" s="27" t="s">
        <v>49</v>
      </c>
      <c r="X114" s="27" t="s">
        <v>49</v>
      </c>
      <c r="Y114" s="31" t="s">
        <v>49</v>
      </c>
      <c r="Z114" s="31"/>
      <c r="AA114" s="31" t="s">
        <v>49</v>
      </c>
      <c r="AB114" s="31"/>
      <c r="AC114" s="31" t="s">
        <v>49</v>
      </c>
      <c r="AD114" s="32">
        <v>0</v>
      </c>
      <c r="AE114" s="33">
        <f t="shared" si="12"/>
        <v>0</v>
      </c>
      <c r="AF114" s="34">
        <v>0</v>
      </c>
      <c r="AG114" s="33">
        <f t="shared" si="9"/>
        <v>0</v>
      </c>
      <c r="AH114" s="34">
        <v>0</v>
      </c>
      <c r="AI114" s="33">
        <f t="shared" si="10"/>
        <v>0</v>
      </c>
      <c r="AJ114" s="34" t="s">
        <v>49</v>
      </c>
      <c r="AK114" s="34">
        <v>0</v>
      </c>
      <c r="AL114" s="33">
        <f t="shared" si="11"/>
        <v>0</v>
      </c>
      <c r="AM114" s="35"/>
      <c r="AN114" s="34" t="s">
        <v>49</v>
      </c>
      <c r="AO114" s="34" t="s">
        <v>49</v>
      </c>
      <c r="AP114" s="34" t="s">
        <v>49</v>
      </c>
      <c r="AQ114" s="34" t="s">
        <v>49</v>
      </c>
      <c r="AR114" s="34" t="s">
        <v>49</v>
      </c>
      <c r="AS114" s="27" t="s">
        <v>183</v>
      </c>
      <c r="AT114" s="34" t="s">
        <v>49</v>
      </c>
      <c r="AU114" s="73" t="s">
        <v>358</v>
      </c>
      <c r="AV114" s="68" t="s">
        <v>391</v>
      </c>
      <c r="AW114" s="1" t="s">
        <v>400</v>
      </c>
      <c r="AX114" s="1" t="s">
        <v>399</v>
      </c>
      <c r="AY114" s="1" t="s">
        <v>414</v>
      </c>
    </row>
    <row r="115" spans="1:51" ht="56.25" x14ac:dyDescent="0.2">
      <c r="A115" s="23">
        <v>107</v>
      </c>
      <c r="B115" s="23" t="s">
        <v>52</v>
      </c>
      <c r="C115" s="24"/>
      <c r="D115" s="37"/>
      <c r="E115" s="26"/>
      <c r="F115" s="64" t="s">
        <v>212</v>
      </c>
      <c r="G115" s="57" t="s">
        <v>285</v>
      </c>
      <c r="H115" s="12"/>
      <c r="I115" s="12"/>
      <c r="J115" s="43">
        <v>1</v>
      </c>
      <c r="K115" s="27" t="s">
        <v>341</v>
      </c>
      <c r="L115" s="27"/>
      <c r="M115" s="27"/>
      <c r="N115" s="27"/>
      <c r="O115" s="27"/>
      <c r="P115" s="51">
        <v>34200000</v>
      </c>
      <c r="Q115" s="28">
        <f t="shared" si="7"/>
        <v>34200000</v>
      </c>
      <c r="R115" s="29" t="s">
        <v>50</v>
      </c>
      <c r="S115" s="28">
        <f t="shared" si="8"/>
        <v>-34200000</v>
      </c>
      <c r="T115" s="27" t="s">
        <v>49</v>
      </c>
      <c r="U115" s="27" t="s">
        <v>49</v>
      </c>
      <c r="V115" s="27" t="s">
        <v>49</v>
      </c>
      <c r="W115" s="27" t="s">
        <v>49</v>
      </c>
      <c r="X115" s="27" t="s">
        <v>49</v>
      </c>
      <c r="Y115" s="31" t="s">
        <v>49</v>
      </c>
      <c r="Z115" s="31"/>
      <c r="AA115" s="31" t="s">
        <v>49</v>
      </c>
      <c r="AB115" s="31"/>
      <c r="AC115" s="31" t="s">
        <v>49</v>
      </c>
      <c r="AD115" s="32">
        <v>0</v>
      </c>
      <c r="AE115" s="33">
        <f t="shared" si="12"/>
        <v>0</v>
      </c>
      <c r="AF115" s="34">
        <v>0</v>
      </c>
      <c r="AG115" s="33">
        <f t="shared" si="9"/>
        <v>0</v>
      </c>
      <c r="AH115" s="34">
        <v>0</v>
      </c>
      <c r="AI115" s="33">
        <f t="shared" si="10"/>
        <v>0</v>
      </c>
      <c r="AJ115" s="34" t="s">
        <v>49</v>
      </c>
      <c r="AK115" s="34">
        <v>0</v>
      </c>
      <c r="AL115" s="33">
        <f t="shared" si="11"/>
        <v>0</v>
      </c>
      <c r="AM115" s="35"/>
      <c r="AN115" s="34" t="s">
        <v>49</v>
      </c>
      <c r="AO115" s="34" t="s">
        <v>49</v>
      </c>
      <c r="AP115" s="34" t="s">
        <v>49</v>
      </c>
      <c r="AQ115" s="34" t="s">
        <v>49</v>
      </c>
      <c r="AR115" s="34" t="s">
        <v>49</v>
      </c>
      <c r="AS115" s="27" t="s">
        <v>183</v>
      </c>
      <c r="AT115" s="34" t="s">
        <v>49</v>
      </c>
      <c r="AU115" s="73" t="s">
        <v>356</v>
      </c>
      <c r="AV115" s="68"/>
    </row>
    <row r="116" spans="1:51" ht="37.5" x14ac:dyDescent="0.2">
      <c r="A116" s="44">
        <v>108</v>
      </c>
      <c r="B116" s="23" t="s">
        <v>52</v>
      </c>
      <c r="C116" s="24"/>
      <c r="D116" s="37"/>
      <c r="E116" s="26"/>
      <c r="F116" s="64" t="s">
        <v>202</v>
      </c>
      <c r="G116" s="57"/>
      <c r="H116" s="12"/>
      <c r="I116" s="12"/>
      <c r="J116" s="43">
        <v>1</v>
      </c>
      <c r="K116" s="27" t="s">
        <v>341</v>
      </c>
      <c r="L116" s="27"/>
      <c r="M116" s="27"/>
      <c r="N116" s="27"/>
      <c r="O116" s="27"/>
      <c r="P116" s="51">
        <v>5850</v>
      </c>
      <c r="Q116" s="28">
        <f t="shared" si="7"/>
        <v>5850</v>
      </c>
      <c r="R116" s="29" t="s">
        <v>50</v>
      </c>
      <c r="S116" s="28">
        <f t="shared" si="8"/>
        <v>-5850</v>
      </c>
      <c r="T116" s="27" t="s">
        <v>49</v>
      </c>
      <c r="U116" s="27" t="s">
        <v>49</v>
      </c>
      <c r="V116" s="27" t="s">
        <v>49</v>
      </c>
      <c r="W116" s="27" t="s">
        <v>49</v>
      </c>
      <c r="X116" s="27" t="s">
        <v>49</v>
      </c>
      <c r="Y116" s="31" t="s">
        <v>49</v>
      </c>
      <c r="Z116" s="31"/>
      <c r="AA116" s="31" t="s">
        <v>49</v>
      </c>
      <c r="AB116" s="31"/>
      <c r="AC116" s="31" t="s">
        <v>49</v>
      </c>
      <c r="AD116" s="32">
        <v>0</v>
      </c>
      <c r="AE116" s="33">
        <f t="shared" si="12"/>
        <v>0</v>
      </c>
      <c r="AF116" s="34">
        <v>0</v>
      </c>
      <c r="AG116" s="33">
        <f t="shared" si="9"/>
        <v>0</v>
      </c>
      <c r="AH116" s="34">
        <v>0</v>
      </c>
      <c r="AI116" s="33">
        <f t="shared" si="10"/>
        <v>0</v>
      </c>
      <c r="AJ116" s="34" t="s">
        <v>49</v>
      </c>
      <c r="AK116" s="34">
        <v>0</v>
      </c>
      <c r="AL116" s="33">
        <f t="shared" si="11"/>
        <v>0</v>
      </c>
      <c r="AM116" s="35"/>
      <c r="AN116" s="34" t="s">
        <v>49</v>
      </c>
      <c r="AO116" s="34" t="s">
        <v>49</v>
      </c>
      <c r="AP116" s="34" t="s">
        <v>49</v>
      </c>
      <c r="AQ116" s="34" t="s">
        <v>49</v>
      </c>
      <c r="AR116" s="34" t="s">
        <v>49</v>
      </c>
      <c r="AS116" s="27" t="s">
        <v>183</v>
      </c>
      <c r="AT116" s="34" t="s">
        <v>49</v>
      </c>
      <c r="AU116" s="73" t="s">
        <v>359</v>
      </c>
      <c r="AV116" s="68"/>
    </row>
    <row r="117" spans="1:51" x14ac:dyDescent="0.2">
      <c r="A117" s="23">
        <v>109</v>
      </c>
      <c r="B117" s="23" t="s">
        <v>52</v>
      </c>
      <c r="C117" s="24"/>
      <c r="D117" s="37"/>
      <c r="E117" s="26"/>
      <c r="F117" s="64" t="s">
        <v>213</v>
      </c>
      <c r="G117" s="100" t="s">
        <v>286</v>
      </c>
      <c r="H117" s="12"/>
      <c r="I117" s="12"/>
      <c r="J117" s="43">
        <v>2</v>
      </c>
      <c r="K117" s="27" t="s">
        <v>341</v>
      </c>
      <c r="L117" s="27"/>
      <c r="M117" s="27"/>
      <c r="N117" s="27"/>
      <c r="O117" s="27"/>
      <c r="P117" s="51">
        <v>1575000</v>
      </c>
      <c r="Q117" s="28">
        <f t="shared" si="7"/>
        <v>3150000</v>
      </c>
      <c r="R117" s="29" t="s">
        <v>50</v>
      </c>
      <c r="S117" s="28">
        <f t="shared" si="8"/>
        <v>-3150000</v>
      </c>
      <c r="T117" s="27" t="s">
        <v>49</v>
      </c>
      <c r="U117" s="27" t="s">
        <v>49</v>
      </c>
      <c r="V117" s="27" t="s">
        <v>49</v>
      </c>
      <c r="W117" s="27" t="s">
        <v>49</v>
      </c>
      <c r="X117" s="27" t="s">
        <v>49</v>
      </c>
      <c r="Y117" s="31" t="s">
        <v>49</v>
      </c>
      <c r="Z117" s="31"/>
      <c r="AA117" s="31" t="s">
        <v>49</v>
      </c>
      <c r="AB117" s="31"/>
      <c r="AC117" s="31" t="s">
        <v>49</v>
      </c>
      <c r="AD117" s="32">
        <v>0</v>
      </c>
      <c r="AE117" s="33">
        <f t="shared" si="12"/>
        <v>0</v>
      </c>
      <c r="AF117" s="34">
        <v>0</v>
      </c>
      <c r="AG117" s="33">
        <f t="shared" si="9"/>
        <v>0</v>
      </c>
      <c r="AH117" s="34">
        <v>0</v>
      </c>
      <c r="AI117" s="33">
        <f t="shared" si="10"/>
        <v>0</v>
      </c>
      <c r="AJ117" s="34" t="s">
        <v>49</v>
      </c>
      <c r="AK117" s="34">
        <v>0</v>
      </c>
      <c r="AL117" s="33">
        <f t="shared" si="11"/>
        <v>0</v>
      </c>
      <c r="AM117" s="35"/>
      <c r="AN117" s="34" t="s">
        <v>49</v>
      </c>
      <c r="AO117" s="34" t="s">
        <v>49</v>
      </c>
      <c r="AP117" s="34" t="s">
        <v>49</v>
      </c>
      <c r="AQ117" s="34" t="s">
        <v>49</v>
      </c>
      <c r="AR117" s="34" t="s">
        <v>49</v>
      </c>
      <c r="AS117" s="27" t="s">
        <v>183</v>
      </c>
      <c r="AT117" s="34" t="s">
        <v>49</v>
      </c>
      <c r="AU117" s="73" t="s">
        <v>372</v>
      </c>
      <c r="AV117" s="68"/>
    </row>
    <row r="118" spans="1:51" ht="56.25" x14ac:dyDescent="0.2">
      <c r="A118" s="23">
        <v>110</v>
      </c>
      <c r="B118" s="23" t="s">
        <v>52</v>
      </c>
      <c r="C118" s="24"/>
      <c r="D118" s="37"/>
      <c r="E118" s="26"/>
      <c r="F118" s="64" t="s">
        <v>214</v>
      </c>
      <c r="G118" s="57" t="s">
        <v>287</v>
      </c>
      <c r="H118" s="12"/>
      <c r="I118" s="12"/>
      <c r="J118" s="43">
        <v>2</v>
      </c>
      <c r="K118" s="27" t="s">
        <v>341</v>
      </c>
      <c r="L118" s="27"/>
      <c r="M118" s="27"/>
      <c r="N118" s="27"/>
      <c r="O118" s="27"/>
      <c r="P118" s="51">
        <v>54000000</v>
      </c>
      <c r="Q118" s="28">
        <f t="shared" si="7"/>
        <v>108000000</v>
      </c>
      <c r="R118" s="29" t="s">
        <v>50</v>
      </c>
      <c r="S118" s="28">
        <f t="shared" si="8"/>
        <v>-108000000</v>
      </c>
      <c r="T118" s="27" t="s">
        <v>49</v>
      </c>
      <c r="U118" s="27" t="s">
        <v>49</v>
      </c>
      <c r="V118" s="27" t="s">
        <v>49</v>
      </c>
      <c r="W118" s="27" t="s">
        <v>49</v>
      </c>
      <c r="X118" s="27" t="s">
        <v>49</v>
      </c>
      <c r="Y118" s="31" t="s">
        <v>49</v>
      </c>
      <c r="Z118" s="31"/>
      <c r="AA118" s="31" t="s">
        <v>49</v>
      </c>
      <c r="AB118" s="31"/>
      <c r="AC118" s="31" t="s">
        <v>49</v>
      </c>
      <c r="AD118" s="32">
        <v>0</v>
      </c>
      <c r="AE118" s="33">
        <f t="shared" si="12"/>
        <v>0</v>
      </c>
      <c r="AF118" s="34">
        <v>0</v>
      </c>
      <c r="AG118" s="33">
        <f t="shared" si="9"/>
        <v>0</v>
      </c>
      <c r="AH118" s="34">
        <v>0</v>
      </c>
      <c r="AI118" s="33">
        <f t="shared" si="10"/>
        <v>0</v>
      </c>
      <c r="AJ118" s="34" t="s">
        <v>49</v>
      </c>
      <c r="AK118" s="34">
        <v>0</v>
      </c>
      <c r="AL118" s="33">
        <f t="shared" si="11"/>
        <v>0</v>
      </c>
      <c r="AM118" s="35"/>
      <c r="AN118" s="34" t="s">
        <v>49</v>
      </c>
      <c r="AO118" s="34" t="s">
        <v>49</v>
      </c>
      <c r="AP118" s="34" t="s">
        <v>49</v>
      </c>
      <c r="AQ118" s="34" t="s">
        <v>49</v>
      </c>
      <c r="AR118" s="34" t="s">
        <v>49</v>
      </c>
      <c r="AS118" s="27" t="s">
        <v>183</v>
      </c>
      <c r="AT118" s="34" t="s">
        <v>49</v>
      </c>
      <c r="AU118" s="73" t="s">
        <v>356</v>
      </c>
      <c r="AV118" s="68"/>
    </row>
    <row r="119" spans="1:51" ht="56.25" x14ac:dyDescent="0.2">
      <c r="A119" s="23">
        <v>111</v>
      </c>
      <c r="B119" s="23" t="s">
        <v>52</v>
      </c>
      <c r="C119" s="24"/>
      <c r="D119" s="37"/>
      <c r="E119" s="26"/>
      <c r="F119" s="64" t="s">
        <v>215</v>
      </c>
      <c r="G119" s="57" t="s">
        <v>288</v>
      </c>
      <c r="H119" s="12"/>
      <c r="I119" s="12"/>
      <c r="J119" s="43">
        <v>1</v>
      </c>
      <c r="K119" s="27" t="s">
        <v>341</v>
      </c>
      <c r="L119" s="27"/>
      <c r="M119" s="27"/>
      <c r="N119" s="27"/>
      <c r="O119" s="27"/>
      <c r="P119" s="51">
        <v>8100000</v>
      </c>
      <c r="Q119" s="28">
        <f t="shared" si="7"/>
        <v>8100000</v>
      </c>
      <c r="R119" s="29" t="s">
        <v>50</v>
      </c>
      <c r="S119" s="28">
        <f t="shared" si="8"/>
        <v>-8100000</v>
      </c>
      <c r="T119" s="27" t="s">
        <v>49</v>
      </c>
      <c r="U119" s="27" t="s">
        <v>49</v>
      </c>
      <c r="V119" s="27" t="s">
        <v>49</v>
      </c>
      <c r="W119" s="27" t="s">
        <v>49</v>
      </c>
      <c r="X119" s="27" t="s">
        <v>49</v>
      </c>
      <c r="Y119" s="31" t="s">
        <v>49</v>
      </c>
      <c r="Z119" s="31"/>
      <c r="AA119" s="31" t="s">
        <v>49</v>
      </c>
      <c r="AB119" s="31"/>
      <c r="AC119" s="31" t="s">
        <v>49</v>
      </c>
      <c r="AD119" s="32">
        <v>0</v>
      </c>
      <c r="AE119" s="33">
        <f t="shared" si="12"/>
        <v>0</v>
      </c>
      <c r="AF119" s="34">
        <v>0</v>
      </c>
      <c r="AG119" s="33">
        <f t="shared" si="9"/>
        <v>0</v>
      </c>
      <c r="AH119" s="34">
        <v>0</v>
      </c>
      <c r="AI119" s="33">
        <f t="shared" si="10"/>
        <v>0</v>
      </c>
      <c r="AJ119" s="34" t="s">
        <v>49</v>
      </c>
      <c r="AK119" s="34">
        <v>0</v>
      </c>
      <c r="AL119" s="33">
        <f t="shared" si="11"/>
        <v>0</v>
      </c>
      <c r="AM119" s="35"/>
      <c r="AN119" s="34" t="s">
        <v>49</v>
      </c>
      <c r="AO119" s="34" t="s">
        <v>49</v>
      </c>
      <c r="AP119" s="34" t="s">
        <v>49</v>
      </c>
      <c r="AQ119" s="34" t="s">
        <v>49</v>
      </c>
      <c r="AR119" s="34" t="s">
        <v>49</v>
      </c>
      <c r="AS119" s="27" t="s">
        <v>183</v>
      </c>
      <c r="AT119" s="34" t="s">
        <v>49</v>
      </c>
      <c r="AU119" s="73" t="s">
        <v>358</v>
      </c>
      <c r="AV119" s="68"/>
    </row>
    <row r="120" spans="1:51" ht="56.25" x14ac:dyDescent="0.2">
      <c r="A120" s="23">
        <v>112</v>
      </c>
      <c r="B120" s="23" t="s">
        <v>52</v>
      </c>
      <c r="C120" s="24"/>
      <c r="D120" s="37"/>
      <c r="E120" s="26"/>
      <c r="F120" s="64" t="s">
        <v>216</v>
      </c>
      <c r="G120" s="57" t="s">
        <v>289</v>
      </c>
      <c r="H120" s="12"/>
      <c r="I120" s="12"/>
      <c r="J120" s="43">
        <v>1</v>
      </c>
      <c r="K120" s="27" t="s">
        <v>341</v>
      </c>
      <c r="L120" s="27"/>
      <c r="M120" s="27"/>
      <c r="N120" s="27"/>
      <c r="O120" s="27"/>
      <c r="P120" s="51">
        <v>39600000</v>
      </c>
      <c r="Q120" s="28">
        <f t="shared" si="7"/>
        <v>39600000</v>
      </c>
      <c r="R120" s="29" t="s">
        <v>50</v>
      </c>
      <c r="S120" s="28">
        <f t="shared" si="8"/>
        <v>-39600000</v>
      </c>
      <c r="T120" s="27" t="s">
        <v>49</v>
      </c>
      <c r="U120" s="27" t="s">
        <v>49</v>
      </c>
      <c r="V120" s="27" t="s">
        <v>49</v>
      </c>
      <c r="W120" s="27" t="s">
        <v>49</v>
      </c>
      <c r="X120" s="27" t="s">
        <v>49</v>
      </c>
      <c r="Y120" s="31" t="s">
        <v>49</v>
      </c>
      <c r="Z120" s="31"/>
      <c r="AA120" s="31" t="s">
        <v>49</v>
      </c>
      <c r="AB120" s="31"/>
      <c r="AC120" s="31" t="s">
        <v>49</v>
      </c>
      <c r="AD120" s="32">
        <v>0</v>
      </c>
      <c r="AE120" s="33">
        <f t="shared" si="12"/>
        <v>0</v>
      </c>
      <c r="AF120" s="34">
        <v>0</v>
      </c>
      <c r="AG120" s="33">
        <f t="shared" si="9"/>
        <v>0</v>
      </c>
      <c r="AH120" s="34">
        <v>0</v>
      </c>
      <c r="AI120" s="33">
        <f t="shared" si="10"/>
        <v>0</v>
      </c>
      <c r="AJ120" s="34" t="s">
        <v>49</v>
      </c>
      <c r="AK120" s="34">
        <v>0</v>
      </c>
      <c r="AL120" s="33">
        <f t="shared" si="11"/>
        <v>0</v>
      </c>
      <c r="AM120" s="35"/>
      <c r="AN120" s="34" t="s">
        <v>49</v>
      </c>
      <c r="AO120" s="34" t="s">
        <v>49</v>
      </c>
      <c r="AP120" s="34" t="s">
        <v>49</v>
      </c>
      <c r="AQ120" s="34" t="s">
        <v>49</v>
      </c>
      <c r="AR120" s="34" t="s">
        <v>49</v>
      </c>
      <c r="AS120" s="27" t="s">
        <v>183</v>
      </c>
      <c r="AT120" s="34" t="s">
        <v>49</v>
      </c>
      <c r="AU120" s="73" t="s">
        <v>356</v>
      </c>
      <c r="AV120" s="68"/>
    </row>
    <row r="121" spans="1:51" ht="75" x14ac:dyDescent="0.2">
      <c r="A121" s="23">
        <v>113</v>
      </c>
      <c r="B121" s="23" t="s">
        <v>52</v>
      </c>
      <c r="C121" s="24"/>
      <c r="D121" s="37"/>
      <c r="E121" s="26"/>
      <c r="F121" s="64" t="s">
        <v>208</v>
      </c>
      <c r="G121" s="57" t="s">
        <v>290</v>
      </c>
      <c r="H121" s="12"/>
      <c r="I121" s="12"/>
      <c r="J121" s="43">
        <v>1</v>
      </c>
      <c r="K121" s="27" t="s">
        <v>341</v>
      </c>
      <c r="L121" s="27"/>
      <c r="M121" s="27"/>
      <c r="N121" s="27"/>
      <c r="O121" s="27"/>
      <c r="P121" s="51">
        <v>4050000</v>
      </c>
      <c r="Q121" s="28">
        <f t="shared" si="7"/>
        <v>4050000</v>
      </c>
      <c r="R121" s="29" t="s">
        <v>50</v>
      </c>
      <c r="S121" s="28">
        <f t="shared" si="8"/>
        <v>-4050000</v>
      </c>
      <c r="T121" s="27" t="s">
        <v>49</v>
      </c>
      <c r="U121" s="27" t="s">
        <v>49</v>
      </c>
      <c r="V121" s="27" t="s">
        <v>49</v>
      </c>
      <c r="W121" s="27" t="s">
        <v>49</v>
      </c>
      <c r="X121" s="27" t="s">
        <v>49</v>
      </c>
      <c r="Y121" s="31" t="s">
        <v>49</v>
      </c>
      <c r="Z121" s="31"/>
      <c r="AA121" s="31" t="s">
        <v>49</v>
      </c>
      <c r="AB121" s="31"/>
      <c r="AC121" s="31" t="s">
        <v>49</v>
      </c>
      <c r="AD121" s="32">
        <v>0</v>
      </c>
      <c r="AE121" s="33">
        <f t="shared" si="12"/>
        <v>0</v>
      </c>
      <c r="AF121" s="34">
        <v>0</v>
      </c>
      <c r="AG121" s="33">
        <f t="shared" si="9"/>
        <v>0</v>
      </c>
      <c r="AH121" s="34">
        <v>0</v>
      </c>
      <c r="AI121" s="33">
        <f t="shared" si="10"/>
        <v>0</v>
      </c>
      <c r="AJ121" s="34" t="s">
        <v>49</v>
      </c>
      <c r="AK121" s="34">
        <v>0</v>
      </c>
      <c r="AL121" s="33">
        <f t="shared" si="11"/>
        <v>0</v>
      </c>
      <c r="AM121" s="35"/>
      <c r="AN121" s="34" t="s">
        <v>49</v>
      </c>
      <c r="AO121" s="34" t="s">
        <v>49</v>
      </c>
      <c r="AP121" s="34" t="s">
        <v>49</v>
      </c>
      <c r="AQ121" s="34" t="s">
        <v>49</v>
      </c>
      <c r="AR121" s="34" t="s">
        <v>49</v>
      </c>
      <c r="AS121" s="27" t="s">
        <v>183</v>
      </c>
      <c r="AT121" s="34" t="s">
        <v>49</v>
      </c>
      <c r="AU121" s="73" t="s">
        <v>358</v>
      </c>
      <c r="AV121" s="68"/>
    </row>
    <row r="122" spans="1:51" ht="75" x14ac:dyDescent="0.2">
      <c r="A122" s="23">
        <v>114</v>
      </c>
      <c r="B122" s="23" t="s">
        <v>52</v>
      </c>
      <c r="C122" s="24"/>
      <c r="D122" s="37"/>
      <c r="E122" s="26"/>
      <c r="F122" s="64" t="s">
        <v>208</v>
      </c>
      <c r="G122" s="57" t="s">
        <v>283</v>
      </c>
      <c r="H122" s="12"/>
      <c r="I122" s="12"/>
      <c r="J122" s="43">
        <v>1</v>
      </c>
      <c r="K122" s="27" t="s">
        <v>341</v>
      </c>
      <c r="L122" s="27"/>
      <c r="M122" s="27"/>
      <c r="N122" s="27"/>
      <c r="O122" s="27"/>
      <c r="P122" s="51">
        <v>4050000</v>
      </c>
      <c r="Q122" s="28">
        <f t="shared" si="7"/>
        <v>4050000</v>
      </c>
      <c r="R122" s="29" t="s">
        <v>50</v>
      </c>
      <c r="S122" s="28">
        <f t="shared" si="8"/>
        <v>-4050000</v>
      </c>
      <c r="T122" s="27" t="s">
        <v>49</v>
      </c>
      <c r="U122" s="27" t="s">
        <v>49</v>
      </c>
      <c r="V122" s="27" t="s">
        <v>49</v>
      </c>
      <c r="W122" s="27" t="s">
        <v>49</v>
      </c>
      <c r="X122" s="27" t="s">
        <v>49</v>
      </c>
      <c r="Y122" s="31" t="s">
        <v>49</v>
      </c>
      <c r="Z122" s="31"/>
      <c r="AA122" s="31" t="s">
        <v>49</v>
      </c>
      <c r="AB122" s="31"/>
      <c r="AC122" s="31" t="s">
        <v>49</v>
      </c>
      <c r="AD122" s="32">
        <v>0</v>
      </c>
      <c r="AE122" s="33">
        <f t="shared" si="12"/>
        <v>0</v>
      </c>
      <c r="AF122" s="34">
        <v>0</v>
      </c>
      <c r="AG122" s="33">
        <f t="shared" si="9"/>
        <v>0</v>
      </c>
      <c r="AH122" s="34">
        <v>0</v>
      </c>
      <c r="AI122" s="33">
        <f t="shared" si="10"/>
        <v>0</v>
      </c>
      <c r="AJ122" s="34" t="s">
        <v>49</v>
      </c>
      <c r="AK122" s="34">
        <v>0</v>
      </c>
      <c r="AL122" s="33">
        <f t="shared" si="11"/>
        <v>0</v>
      </c>
      <c r="AM122" s="35"/>
      <c r="AN122" s="34" t="s">
        <v>49</v>
      </c>
      <c r="AO122" s="34" t="s">
        <v>49</v>
      </c>
      <c r="AP122" s="34" t="s">
        <v>49</v>
      </c>
      <c r="AQ122" s="34" t="s">
        <v>49</v>
      </c>
      <c r="AR122" s="34" t="s">
        <v>49</v>
      </c>
      <c r="AS122" s="27" t="s">
        <v>183</v>
      </c>
      <c r="AT122" s="34" t="s">
        <v>49</v>
      </c>
      <c r="AU122" s="73" t="s">
        <v>358</v>
      </c>
      <c r="AV122" s="68"/>
    </row>
    <row r="123" spans="1:51" ht="75" x14ac:dyDescent="0.2">
      <c r="A123" s="23">
        <v>115</v>
      </c>
      <c r="B123" s="23" t="s">
        <v>52</v>
      </c>
      <c r="C123" s="24"/>
      <c r="D123" s="37"/>
      <c r="E123" s="26"/>
      <c r="F123" s="64" t="s">
        <v>217</v>
      </c>
      <c r="G123" s="57" t="s">
        <v>291</v>
      </c>
      <c r="H123" s="12"/>
      <c r="I123" s="12"/>
      <c r="J123" s="43">
        <v>1</v>
      </c>
      <c r="K123" s="27" t="s">
        <v>341</v>
      </c>
      <c r="L123" s="27"/>
      <c r="M123" s="27"/>
      <c r="N123" s="27"/>
      <c r="O123" s="27"/>
      <c r="P123" s="51">
        <v>34383060</v>
      </c>
      <c r="Q123" s="28">
        <f t="shared" si="7"/>
        <v>34383060</v>
      </c>
      <c r="R123" s="29" t="s">
        <v>50</v>
      </c>
      <c r="S123" s="28">
        <f t="shared" si="8"/>
        <v>-34383060</v>
      </c>
      <c r="T123" s="27" t="s">
        <v>49</v>
      </c>
      <c r="U123" s="27" t="s">
        <v>49</v>
      </c>
      <c r="V123" s="27" t="s">
        <v>49</v>
      </c>
      <c r="W123" s="27" t="s">
        <v>49</v>
      </c>
      <c r="X123" s="27" t="s">
        <v>49</v>
      </c>
      <c r="Y123" s="31" t="s">
        <v>49</v>
      </c>
      <c r="Z123" s="31"/>
      <c r="AA123" s="31" t="s">
        <v>49</v>
      </c>
      <c r="AB123" s="31"/>
      <c r="AC123" s="31" t="s">
        <v>49</v>
      </c>
      <c r="AD123" s="32">
        <v>0</v>
      </c>
      <c r="AE123" s="33">
        <f t="shared" si="12"/>
        <v>0</v>
      </c>
      <c r="AF123" s="34">
        <v>0</v>
      </c>
      <c r="AG123" s="33">
        <f t="shared" si="9"/>
        <v>0</v>
      </c>
      <c r="AH123" s="34">
        <v>0</v>
      </c>
      <c r="AI123" s="33">
        <f t="shared" si="10"/>
        <v>0</v>
      </c>
      <c r="AJ123" s="34" t="s">
        <v>49</v>
      </c>
      <c r="AK123" s="34">
        <v>0</v>
      </c>
      <c r="AL123" s="33">
        <f t="shared" si="11"/>
        <v>0</v>
      </c>
      <c r="AM123" s="35"/>
      <c r="AN123" s="34" t="s">
        <v>49</v>
      </c>
      <c r="AO123" s="34" t="s">
        <v>49</v>
      </c>
      <c r="AP123" s="34" t="s">
        <v>49</v>
      </c>
      <c r="AQ123" s="34" t="s">
        <v>49</v>
      </c>
      <c r="AR123" s="34" t="s">
        <v>49</v>
      </c>
      <c r="AS123" s="27" t="s">
        <v>183</v>
      </c>
      <c r="AT123" s="34" t="s">
        <v>49</v>
      </c>
      <c r="AU123" s="73" t="s">
        <v>366</v>
      </c>
      <c r="AV123" s="68"/>
    </row>
    <row r="124" spans="1:51" ht="94.5" x14ac:dyDescent="0.2">
      <c r="A124" s="23">
        <v>116</v>
      </c>
      <c r="B124" s="23" t="s">
        <v>52</v>
      </c>
      <c r="C124" s="24"/>
      <c r="D124" s="37"/>
      <c r="E124" s="26"/>
      <c r="F124" s="64" t="s">
        <v>218</v>
      </c>
      <c r="G124" s="57" t="s">
        <v>292</v>
      </c>
      <c r="H124" s="12"/>
      <c r="I124" s="12"/>
      <c r="J124" s="43">
        <v>1</v>
      </c>
      <c r="K124" s="27" t="s">
        <v>341</v>
      </c>
      <c r="L124" s="27"/>
      <c r="M124" s="27"/>
      <c r="N124" s="27"/>
      <c r="O124" s="27"/>
      <c r="P124" s="51">
        <v>21825000</v>
      </c>
      <c r="Q124" s="28">
        <f t="shared" si="7"/>
        <v>21825000</v>
      </c>
      <c r="R124" s="29" t="s">
        <v>50</v>
      </c>
      <c r="S124" s="28">
        <f t="shared" si="8"/>
        <v>-21825000</v>
      </c>
      <c r="T124" s="27" t="s">
        <v>49</v>
      </c>
      <c r="U124" s="27" t="s">
        <v>49</v>
      </c>
      <c r="V124" s="27" t="s">
        <v>49</v>
      </c>
      <c r="W124" s="27" t="s">
        <v>49</v>
      </c>
      <c r="X124" s="27" t="s">
        <v>49</v>
      </c>
      <c r="Y124" s="31" t="s">
        <v>49</v>
      </c>
      <c r="Z124" s="31"/>
      <c r="AA124" s="31" t="s">
        <v>49</v>
      </c>
      <c r="AB124" s="31"/>
      <c r="AC124" s="31" t="s">
        <v>49</v>
      </c>
      <c r="AD124" s="32">
        <v>0</v>
      </c>
      <c r="AE124" s="33">
        <f t="shared" si="12"/>
        <v>0</v>
      </c>
      <c r="AF124" s="34">
        <v>0</v>
      </c>
      <c r="AG124" s="33">
        <f t="shared" si="9"/>
        <v>0</v>
      </c>
      <c r="AH124" s="34">
        <v>0</v>
      </c>
      <c r="AI124" s="33">
        <f t="shared" si="10"/>
        <v>0</v>
      </c>
      <c r="AJ124" s="34" t="s">
        <v>49</v>
      </c>
      <c r="AK124" s="34">
        <v>0</v>
      </c>
      <c r="AL124" s="33">
        <f t="shared" si="11"/>
        <v>0</v>
      </c>
      <c r="AM124" s="35"/>
      <c r="AN124" s="34" t="s">
        <v>49</v>
      </c>
      <c r="AO124" s="34" t="s">
        <v>49</v>
      </c>
      <c r="AP124" s="34" t="s">
        <v>49</v>
      </c>
      <c r="AQ124" s="34" t="s">
        <v>49</v>
      </c>
      <c r="AR124" s="34" t="s">
        <v>49</v>
      </c>
      <c r="AS124" s="27" t="s">
        <v>183</v>
      </c>
      <c r="AT124" s="34" t="s">
        <v>49</v>
      </c>
      <c r="AU124" s="73" t="s">
        <v>366</v>
      </c>
      <c r="AV124" s="68"/>
    </row>
    <row r="125" spans="1:51" ht="56.25" x14ac:dyDescent="0.2">
      <c r="A125" s="23">
        <v>117</v>
      </c>
      <c r="B125" s="23" t="s">
        <v>52</v>
      </c>
      <c r="C125" s="24"/>
      <c r="D125" s="37"/>
      <c r="E125" s="26"/>
      <c r="F125" s="64" t="s">
        <v>219</v>
      </c>
      <c r="G125" s="57" t="s">
        <v>293</v>
      </c>
      <c r="H125" s="12"/>
      <c r="I125" s="12"/>
      <c r="J125" s="43">
        <v>3</v>
      </c>
      <c r="K125" s="27" t="s">
        <v>341</v>
      </c>
      <c r="L125" s="27"/>
      <c r="M125" s="27"/>
      <c r="N125" s="27"/>
      <c r="O125" s="27"/>
      <c r="P125" s="51">
        <v>51750000</v>
      </c>
      <c r="Q125" s="28">
        <f t="shared" si="7"/>
        <v>155250000</v>
      </c>
      <c r="R125" s="29" t="s">
        <v>50</v>
      </c>
      <c r="S125" s="28">
        <f t="shared" si="8"/>
        <v>-155250000</v>
      </c>
      <c r="T125" s="27" t="s">
        <v>49</v>
      </c>
      <c r="U125" s="27" t="s">
        <v>49</v>
      </c>
      <c r="V125" s="27" t="s">
        <v>49</v>
      </c>
      <c r="W125" s="27" t="s">
        <v>49</v>
      </c>
      <c r="X125" s="27" t="s">
        <v>49</v>
      </c>
      <c r="Y125" s="31" t="s">
        <v>49</v>
      </c>
      <c r="Z125" s="31"/>
      <c r="AA125" s="31" t="s">
        <v>49</v>
      </c>
      <c r="AB125" s="31"/>
      <c r="AC125" s="31" t="s">
        <v>49</v>
      </c>
      <c r="AD125" s="32">
        <v>0</v>
      </c>
      <c r="AE125" s="33">
        <f t="shared" si="12"/>
        <v>0</v>
      </c>
      <c r="AF125" s="34">
        <v>0</v>
      </c>
      <c r="AG125" s="33">
        <f t="shared" si="9"/>
        <v>0</v>
      </c>
      <c r="AH125" s="34">
        <v>0</v>
      </c>
      <c r="AI125" s="33">
        <f t="shared" si="10"/>
        <v>0</v>
      </c>
      <c r="AJ125" s="34" t="s">
        <v>49</v>
      </c>
      <c r="AK125" s="34">
        <v>0</v>
      </c>
      <c r="AL125" s="33">
        <f t="shared" si="11"/>
        <v>0</v>
      </c>
      <c r="AM125" s="35"/>
      <c r="AN125" s="34" t="s">
        <v>49</v>
      </c>
      <c r="AO125" s="34" t="s">
        <v>49</v>
      </c>
      <c r="AP125" s="34" t="s">
        <v>49</v>
      </c>
      <c r="AQ125" s="34" t="s">
        <v>49</v>
      </c>
      <c r="AR125" s="34" t="s">
        <v>49</v>
      </c>
      <c r="AS125" s="27" t="s">
        <v>183</v>
      </c>
      <c r="AT125" s="34" t="s">
        <v>49</v>
      </c>
      <c r="AU125" s="73" t="s">
        <v>366</v>
      </c>
      <c r="AV125" s="68"/>
    </row>
    <row r="126" spans="1:51" ht="75" x14ac:dyDescent="0.2">
      <c r="A126" s="23">
        <v>118</v>
      </c>
      <c r="B126" s="23" t="s">
        <v>52</v>
      </c>
      <c r="C126" s="24"/>
      <c r="D126" s="37"/>
      <c r="E126" s="26"/>
      <c r="F126" s="64" t="s">
        <v>209</v>
      </c>
      <c r="G126" s="57" t="s">
        <v>281</v>
      </c>
      <c r="H126" s="12"/>
      <c r="I126" s="12"/>
      <c r="J126" s="43">
        <v>1</v>
      </c>
      <c r="K126" s="27" t="s">
        <v>341</v>
      </c>
      <c r="L126" s="27"/>
      <c r="M126" s="27"/>
      <c r="N126" s="27"/>
      <c r="O126" s="27"/>
      <c r="P126" s="51">
        <v>4050000</v>
      </c>
      <c r="Q126" s="28">
        <f t="shared" si="7"/>
        <v>4050000</v>
      </c>
      <c r="R126" s="29" t="s">
        <v>50</v>
      </c>
      <c r="S126" s="28">
        <f t="shared" si="8"/>
        <v>-4050000</v>
      </c>
      <c r="T126" s="27" t="s">
        <v>49</v>
      </c>
      <c r="U126" s="27" t="s">
        <v>49</v>
      </c>
      <c r="V126" s="27" t="s">
        <v>49</v>
      </c>
      <c r="W126" s="27" t="s">
        <v>49</v>
      </c>
      <c r="X126" s="27" t="s">
        <v>49</v>
      </c>
      <c r="Y126" s="31" t="s">
        <v>49</v>
      </c>
      <c r="Z126" s="31"/>
      <c r="AA126" s="31" t="s">
        <v>49</v>
      </c>
      <c r="AB126" s="31"/>
      <c r="AC126" s="31" t="s">
        <v>49</v>
      </c>
      <c r="AD126" s="32">
        <v>0</v>
      </c>
      <c r="AE126" s="33">
        <f t="shared" si="12"/>
        <v>0</v>
      </c>
      <c r="AF126" s="34">
        <v>0</v>
      </c>
      <c r="AG126" s="33">
        <f t="shared" si="9"/>
        <v>0</v>
      </c>
      <c r="AH126" s="34">
        <v>0</v>
      </c>
      <c r="AI126" s="33">
        <f t="shared" si="10"/>
        <v>0</v>
      </c>
      <c r="AJ126" s="34" t="s">
        <v>49</v>
      </c>
      <c r="AK126" s="34">
        <v>0</v>
      </c>
      <c r="AL126" s="33">
        <f t="shared" si="11"/>
        <v>0</v>
      </c>
      <c r="AM126" s="35"/>
      <c r="AN126" s="34" t="s">
        <v>49</v>
      </c>
      <c r="AO126" s="34" t="s">
        <v>49</v>
      </c>
      <c r="AP126" s="34" t="s">
        <v>49</v>
      </c>
      <c r="AQ126" s="34" t="s">
        <v>49</v>
      </c>
      <c r="AR126" s="34" t="s">
        <v>49</v>
      </c>
      <c r="AS126" s="27" t="s">
        <v>183</v>
      </c>
      <c r="AT126" s="34" t="s">
        <v>49</v>
      </c>
      <c r="AU126" s="73" t="s">
        <v>358</v>
      </c>
      <c r="AV126" s="68"/>
    </row>
    <row r="127" spans="1:51" ht="75" x14ac:dyDescent="0.2">
      <c r="A127" s="23">
        <v>119</v>
      </c>
      <c r="B127" s="23" t="s">
        <v>52</v>
      </c>
      <c r="C127" s="24"/>
      <c r="D127" s="37"/>
      <c r="E127" s="26"/>
      <c r="F127" s="64" t="s">
        <v>209</v>
      </c>
      <c r="G127" s="57" t="s">
        <v>281</v>
      </c>
      <c r="H127" s="12"/>
      <c r="I127" s="12"/>
      <c r="J127" s="43">
        <v>1</v>
      </c>
      <c r="K127" s="27" t="s">
        <v>341</v>
      </c>
      <c r="L127" s="27"/>
      <c r="M127" s="27"/>
      <c r="N127" s="27"/>
      <c r="O127" s="27"/>
      <c r="P127" s="51">
        <v>4050000</v>
      </c>
      <c r="Q127" s="28">
        <f t="shared" si="7"/>
        <v>4050000</v>
      </c>
      <c r="R127" s="29" t="s">
        <v>50</v>
      </c>
      <c r="S127" s="28">
        <f t="shared" si="8"/>
        <v>-4050000</v>
      </c>
      <c r="T127" s="27" t="s">
        <v>49</v>
      </c>
      <c r="U127" s="27" t="s">
        <v>49</v>
      </c>
      <c r="V127" s="27" t="s">
        <v>49</v>
      </c>
      <c r="W127" s="27" t="s">
        <v>49</v>
      </c>
      <c r="X127" s="27" t="s">
        <v>49</v>
      </c>
      <c r="Y127" s="31" t="s">
        <v>49</v>
      </c>
      <c r="Z127" s="31"/>
      <c r="AA127" s="31" t="s">
        <v>49</v>
      </c>
      <c r="AB127" s="31"/>
      <c r="AC127" s="31" t="s">
        <v>49</v>
      </c>
      <c r="AD127" s="32">
        <v>0</v>
      </c>
      <c r="AE127" s="33">
        <f t="shared" si="12"/>
        <v>0</v>
      </c>
      <c r="AF127" s="34">
        <v>0</v>
      </c>
      <c r="AG127" s="33">
        <f t="shared" si="9"/>
        <v>0</v>
      </c>
      <c r="AH127" s="34">
        <v>0</v>
      </c>
      <c r="AI127" s="33">
        <f t="shared" si="10"/>
        <v>0</v>
      </c>
      <c r="AJ127" s="34" t="s">
        <v>49</v>
      </c>
      <c r="AK127" s="34">
        <v>0</v>
      </c>
      <c r="AL127" s="33">
        <f t="shared" si="11"/>
        <v>0</v>
      </c>
      <c r="AM127" s="35"/>
      <c r="AN127" s="34" t="s">
        <v>49</v>
      </c>
      <c r="AO127" s="34" t="s">
        <v>49</v>
      </c>
      <c r="AP127" s="34" t="s">
        <v>49</v>
      </c>
      <c r="AQ127" s="34" t="s">
        <v>49</v>
      </c>
      <c r="AR127" s="34" t="s">
        <v>49</v>
      </c>
      <c r="AS127" s="27" t="s">
        <v>183</v>
      </c>
      <c r="AT127" s="34" t="s">
        <v>49</v>
      </c>
      <c r="AU127" s="73" t="s">
        <v>358</v>
      </c>
      <c r="AV127" s="68"/>
    </row>
    <row r="128" spans="1:51" ht="37.5" x14ac:dyDescent="0.2">
      <c r="A128" s="23">
        <v>120</v>
      </c>
      <c r="B128" s="23" t="s">
        <v>52</v>
      </c>
      <c r="C128" s="24"/>
      <c r="D128" s="37"/>
      <c r="E128" s="26"/>
      <c r="F128" s="64" t="s">
        <v>220</v>
      </c>
      <c r="G128" s="57" t="s">
        <v>294</v>
      </c>
      <c r="H128" s="12"/>
      <c r="I128" s="12"/>
      <c r="J128" s="43">
        <v>2</v>
      </c>
      <c r="K128" s="27" t="s">
        <v>341</v>
      </c>
      <c r="L128" s="27"/>
      <c r="M128" s="27"/>
      <c r="N128" s="27"/>
      <c r="O128" s="27"/>
      <c r="P128" s="51">
        <v>9495000</v>
      </c>
      <c r="Q128" s="28">
        <f t="shared" si="7"/>
        <v>18990000</v>
      </c>
      <c r="R128" s="29" t="s">
        <v>50</v>
      </c>
      <c r="S128" s="28">
        <f t="shared" si="8"/>
        <v>-18990000</v>
      </c>
      <c r="T128" s="27" t="s">
        <v>49</v>
      </c>
      <c r="U128" s="27" t="s">
        <v>49</v>
      </c>
      <c r="V128" s="27" t="s">
        <v>49</v>
      </c>
      <c r="W128" s="27" t="s">
        <v>49</v>
      </c>
      <c r="X128" s="27" t="s">
        <v>49</v>
      </c>
      <c r="Y128" s="31" t="s">
        <v>49</v>
      </c>
      <c r="Z128" s="31"/>
      <c r="AA128" s="31" t="s">
        <v>49</v>
      </c>
      <c r="AB128" s="31"/>
      <c r="AC128" s="31" t="s">
        <v>49</v>
      </c>
      <c r="AD128" s="32">
        <v>0</v>
      </c>
      <c r="AE128" s="33">
        <f t="shared" si="12"/>
        <v>0</v>
      </c>
      <c r="AF128" s="34">
        <v>0</v>
      </c>
      <c r="AG128" s="33">
        <f t="shared" si="9"/>
        <v>0</v>
      </c>
      <c r="AH128" s="34">
        <v>0</v>
      </c>
      <c r="AI128" s="33">
        <f t="shared" si="10"/>
        <v>0</v>
      </c>
      <c r="AJ128" s="34" t="s">
        <v>49</v>
      </c>
      <c r="AK128" s="34">
        <v>0</v>
      </c>
      <c r="AL128" s="33">
        <f t="shared" si="11"/>
        <v>0</v>
      </c>
      <c r="AM128" s="35"/>
      <c r="AN128" s="34" t="s">
        <v>49</v>
      </c>
      <c r="AO128" s="34" t="s">
        <v>49</v>
      </c>
      <c r="AP128" s="34" t="s">
        <v>49</v>
      </c>
      <c r="AQ128" s="34" t="s">
        <v>49</v>
      </c>
      <c r="AR128" s="34" t="s">
        <v>49</v>
      </c>
      <c r="AS128" s="27" t="s">
        <v>183</v>
      </c>
      <c r="AT128" s="34" t="s">
        <v>49</v>
      </c>
      <c r="AU128" s="73" t="s">
        <v>358</v>
      </c>
      <c r="AV128" s="68" t="s">
        <v>392</v>
      </c>
      <c r="AW128" s="1" t="s">
        <v>400</v>
      </c>
      <c r="AX128" s="1" t="s">
        <v>399</v>
      </c>
    </row>
    <row r="129" spans="1:50" ht="37.5" x14ac:dyDescent="0.2">
      <c r="A129" s="23">
        <v>121</v>
      </c>
      <c r="B129" s="23" t="s">
        <v>52</v>
      </c>
      <c r="C129" s="24"/>
      <c r="D129" s="37"/>
      <c r="E129" s="26"/>
      <c r="F129" s="64" t="s">
        <v>221</v>
      </c>
      <c r="G129" s="57" t="s">
        <v>295</v>
      </c>
      <c r="H129" s="12"/>
      <c r="I129" s="12"/>
      <c r="J129" s="43">
        <v>1</v>
      </c>
      <c r="K129" s="27" t="s">
        <v>341</v>
      </c>
      <c r="L129" s="27"/>
      <c r="M129" s="27"/>
      <c r="N129" s="27"/>
      <c r="O129" s="27"/>
      <c r="P129" s="51">
        <v>6100000</v>
      </c>
      <c r="Q129" s="28">
        <f t="shared" si="7"/>
        <v>6100000</v>
      </c>
      <c r="R129" s="29" t="s">
        <v>50</v>
      </c>
      <c r="S129" s="28">
        <f t="shared" si="8"/>
        <v>-6100000</v>
      </c>
      <c r="T129" s="27" t="s">
        <v>49</v>
      </c>
      <c r="U129" s="27" t="s">
        <v>49</v>
      </c>
      <c r="V129" s="27" t="s">
        <v>49</v>
      </c>
      <c r="W129" s="27" t="s">
        <v>49</v>
      </c>
      <c r="X129" s="27" t="s">
        <v>49</v>
      </c>
      <c r="Y129" s="31" t="s">
        <v>49</v>
      </c>
      <c r="Z129" s="31"/>
      <c r="AA129" s="31" t="s">
        <v>49</v>
      </c>
      <c r="AB129" s="31"/>
      <c r="AC129" s="31" t="s">
        <v>49</v>
      </c>
      <c r="AD129" s="32">
        <v>0</v>
      </c>
      <c r="AE129" s="33">
        <f t="shared" si="12"/>
        <v>0</v>
      </c>
      <c r="AF129" s="34">
        <v>0</v>
      </c>
      <c r="AG129" s="33">
        <f t="shared" si="9"/>
        <v>0</v>
      </c>
      <c r="AH129" s="34">
        <v>0</v>
      </c>
      <c r="AI129" s="33">
        <f t="shared" si="10"/>
        <v>0</v>
      </c>
      <c r="AJ129" s="34" t="s">
        <v>49</v>
      </c>
      <c r="AK129" s="34">
        <v>0</v>
      </c>
      <c r="AL129" s="33">
        <f t="shared" si="11"/>
        <v>0</v>
      </c>
      <c r="AM129" s="35"/>
      <c r="AN129" s="34" t="s">
        <v>49</v>
      </c>
      <c r="AO129" s="34" t="s">
        <v>49</v>
      </c>
      <c r="AP129" s="34" t="s">
        <v>49</v>
      </c>
      <c r="AQ129" s="34" t="s">
        <v>49</v>
      </c>
      <c r="AR129" s="34" t="s">
        <v>49</v>
      </c>
      <c r="AS129" s="27" t="s">
        <v>183</v>
      </c>
      <c r="AT129" s="34" t="s">
        <v>49</v>
      </c>
      <c r="AU129" s="73" t="s">
        <v>356</v>
      </c>
      <c r="AV129" s="68"/>
    </row>
    <row r="130" spans="1:50" ht="37.5" x14ac:dyDescent="0.2">
      <c r="A130" s="23">
        <v>122</v>
      </c>
      <c r="B130" s="23" t="s">
        <v>52</v>
      </c>
      <c r="C130" s="24"/>
      <c r="D130" s="37"/>
      <c r="E130" s="26"/>
      <c r="F130" s="64" t="s">
        <v>222</v>
      </c>
      <c r="G130" s="57" t="s">
        <v>295</v>
      </c>
      <c r="H130" s="12"/>
      <c r="I130" s="12"/>
      <c r="J130" s="43">
        <v>1</v>
      </c>
      <c r="K130" s="27" t="s">
        <v>341</v>
      </c>
      <c r="L130" s="27"/>
      <c r="M130" s="27"/>
      <c r="N130" s="27"/>
      <c r="O130" s="27"/>
      <c r="P130" s="51">
        <v>4500000</v>
      </c>
      <c r="Q130" s="28">
        <f t="shared" si="7"/>
        <v>4500000</v>
      </c>
      <c r="R130" s="29" t="s">
        <v>50</v>
      </c>
      <c r="S130" s="28">
        <f t="shared" si="8"/>
        <v>-4500000</v>
      </c>
      <c r="T130" s="27" t="s">
        <v>49</v>
      </c>
      <c r="U130" s="27" t="s">
        <v>49</v>
      </c>
      <c r="V130" s="27" t="s">
        <v>49</v>
      </c>
      <c r="W130" s="27" t="s">
        <v>49</v>
      </c>
      <c r="X130" s="27" t="s">
        <v>49</v>
      </c>
      <c r="Y130" s="31" t="s">
        <v>49</v>
      </c>
      <c r="Z130" s="31"/>
      <c r="AA130" s="31" t="s">
        <v>49</v>
      </c>
      <c r="AB130" s="31"/>
      <c r="AC130" s="31" t="s">
        <v>49</v>
      </c>
      <c r="AD130" s="32">
        <v>0</v>
      </c>
      <c r="AE130" s="33">
        <f t="shared" si="12"/>
        <v>0</v>
      </c>
      <c r="AF130" s="34">
        <v>0</v>
      </c>
      <c r="AG130" s="33">
        <f t="shared" si="9"/>
        <v>0</v>
      </c>
      <c r="AH130" s="34">
        <v>0</v>
      </c>
      <c r="AI130" s="33">
        <f t="shared" si="10"/>
        <v>0</v>
      </c>
      <c r="AJ130" s="34" t="s">
        <v>49</v>
      </c>
      <c r="AK130" s="34">
        <v>0</v>
      </c>
      <c r="AL130" s="33">
        <f t="shared" si="11"/>
        <v>0</v>
      </c>
      <c r="AM130" s="35"/>
      <c r="AN130" s="34" t="s">
        <v>49</v>
      </c>
      <c r="AO130" s="34" t="s">
        <v>49</v>
      </c>
      <c r="AP130" s="34" t="s">
        <v>49</v>
      </c>
      <c r="AQ130" s="34" t="s">
        <v>49</v>
      </c>
      <c r="AR130" s="34" t="s">
        <v>49</v>
      </c>
      <c r="AS130" s="27" t="s">
        <v>183</v>
      </c>
      <c r="AT130" s="34" t="s">
        <v>49</v>
      </c>
      <c r="AU130" s="73" t="s">
        <v>356</v>
      </c>
      <c r="AV130" s="68"/>
    </row>
    <row r="131" spans="1:50" x14ac:dyDescent="0.2">
      <c r="A131" s="23">
        <v>123</v>
      </c>
      <c r="B131" s="23" t="s">
        <v>52</v>
      </c>
      <c r="C131" s="24"/>
      <c r="D131" s="37"/>
      <c r="E131" s="26"/>
      <c r="F131" s="64" t="s">
        <v>223</v>
      </c>
      <c r="G131" s="57"/>
      <c r="H131" s="12"/>
      <c r="I131" s="12"/>
      <c r="J131" s="43">
        <v>2</v>
      </c>
      <c r="K131" s="27" t="s">
        <v>341</v>
      </c>
      <c r="L131" s="27"/>
      <c r="M131" s="27"/>
      <c r="N131" s="27"/>
      <c r="O131" s="27"/>
      <c r="P131" s="51">
        <v>47250</v>
      </c>
      <c r="Q131" s="28">
        <f t="shared" si="7"/>
        <v>94500</v>
      </c>
      <c r="R131" s="29" t="s">
        <v>50</v>
      </c>
      <c r="S131" s="28">
        <f t="shared" si="8"/>
        <v>-94500</v>
      </c>
      <c r="T131" s="27" t="s">
        <v>49</v>
      </c>
      <c r="U131" s="27" t="s">
        <v>49</v>
      </c>
      <c r="V131" s="27" t="s">
        <v>49</v>
      </c>
      <c r="W131" s="27" t="s">
        <v>49</v>
      </c>
      <c r="X131" s="27" t="s">
        <v>49</v>
      </c>
      <c r="Y131" s="31" t="s">
        <v>49</v>
      </c>
      <c r="Z131" s="31"/>
      <c r="AA131" s="31" t="s">
        <v>49</v>
      </c>
      <c r="AB131" s="31"/>
      <c r="AC131" s="31" t="s">
        <v>49</v>
      </c>
      <c r="AD131" s="32">
        <v>0</v>
      </c>
      <c r="AE131" s="33">
        <f t="shared" si="12"/>
        <v>0</v>
      </c>
      <c r="AF131" s="34">
        <v>0</v>
      </c>
      <c r="AG131" s="33">
        <f t="shared" si="9"/>
        <v>0</v>
      </c>
      <c r="AH131" s="34">
        <v>0</v>
      </c>
      <c r="AI131" s="33">
        <f t="shared" si="10"/>
        <v>0</v>
      </c>
      <c r="AJ131" s="34" t="s">
        <v>49</v>
      </c>
      <c r="AK131" s="34">
        <v>0</v>
      </c>
      <c r="AL131" s="33">
        <f t="shared" si="11"/>
        <v>0</v>
      </c>
      <c r="AM131" s="35"/>
      <c r="AN131" s="34" t="s">
        <v>49</v>
      </c>
      <c r="AO131" s="34" t="s">
        <v>49</v>
      </c>
      <c r="AP131" s="34" t="s">
        <v>49</v>
      </c>
      <c r="AQ131" s="34" t="s">
        <v>49</v>
      </c>
      <c r="AR131" s="34" t="s">
        <v>49</v>
      </c>
      <c r="AS131" s="27" t="s">
        <v>183</v>
      </c>
      <c r="AT131" s="34" t="s">
        <v>49</v>
      </c>
      <c r="AU131" s="73" t="s">
        <v>359</v>
      </c>
      <c r="AV131" s="79">
        <v>21000</v>
      </c>
    </row>
    <row r="132" spans="1:50" ht="56.25" x14ac:dyDescent="0.2">
      <c r="A132" s="23">
        <v>124</v>
      </c>
      <c r="B132" s="23" t="s">
        <v>52</v>
      </c>
      <c r="C132" s="24"/>
      <c r="D132" s="37"/>
      <c r="E132" s="26"/>
      <c r="F132" s="64" t="s">
        <v>224</v>
      </c>
      <c r="G132" s="57" t="s">
        <v>296</v>
      </c>
      <c r="H132" s="12"/>
      <c r="I132" s="12"/>
      <c r="J132" s="43">
        <v>1</v>
      </c>
      <c r="K132" s="27" t="s">
        <v>341</v>
      </c>
      <c r="L132" s="27"/>
      <c r="M132" s="27"/>
      <c r="N132" s="27"/>
      <c r="O132" s="27"/>
      <c r="P132" s="51">
        <v>37800000</v>
      </c>
      <c r="Q132" s="28">
        <f t="shared" si="7"/>
        <v>37800000</v>
      </c>
      <c r="R132" s="29" t="s">
        <v>50</v>
      </c>
      <c r="S132" s="28">
        <f t="shared" si="8"/>
        <v>-37800000</v>
      </c>
      <c r="T132" s="27" t="s">
        <v>49</v>
      </c>
      <c r="U132" s="27" t="s">
        <v>49</v>
      </c>
      <c r="V132" s="27" t="s">
        <v>49</v>
      </c>
      <c r="W132" s="27" t="s">
        <v>49</v>
      </c>
      <c r="X132" s="27" t="s">
        <v>49</v>
      </c>
      <c r="Y132" s="31" t="s">
        <v>49</v>
      </c>
      <c r="Z132" s="31"/>
      <c r="AA132" s="31" t="s">
        <v>49</v>
      </c>
      <c r="AB132" s="31"/>
      <c r="AC132" s="31" t="s">
        <v>49</v>
      </c>
      <c r="AD132" s="32">
        <v>0</v>
      </c>
      <c r="AE132" s="33">
        <f t="shared" si="12"/>
        <v>0</v>
      </c>
      <c r="AF132" s="34">
        <v>0</v>
      </c>
      <c r="AG132" s="33">
        <f t="shared" si="9"/>
        <v>0</v>
      </c>
      <c r="AH132" s="34">
        <v>0</v>
      </c>
      <c r="AI132" s="33">
        <f t="shared" si="10"/>
        <v>0</v>
      </c>
      <c r="AJ132" s="34" t="s">
        <v>49</v>
      </c>
      <c r="AK132" s="34">
        <v>0</v>
      </c>
      <c r="AL132" s="33">
        <f t="shared" si="11"/>
        <v>0</v>
      </c>
      <c r="AM132" s="35"/>
      <c r="AN132" s="34" t="s">
        <v>49</v>
      </c>
      <c r="AO132" s="34" t="s">
        <v>49</v>
      </c>
      <c r="AP132" s="34" t="s">
        <v>49</v>
      </c>
      <c r="AQ132" s="34" t="s">
        <v>49</v>
      </c>
      <c r="AR132" s="34" t="s">
        <v>49</v>
      </c>
      <c r="AS132" s="27" t="s">
        <v>183</v>
      </c>
      <c r="AT132" s="34" t="s">
        <v>49</v>
      </c>
      <c r="AU132" s="73" t="s">
        <v>366</v>
      </c>
      <c r="AV132" s="79">
        <v>1987000</v>
      </c>
    </row>
    <row r="133" spans="1:50" ht="157.5" x14ac:dyDescent="0.2">
      <c r="A133" s="23">
        <v>125</v>
      </c>
      <c r="B133" s="23" t="s">
        <v>52</v>
      </c>
      <c r="C133" s="24"/>
      <c r="D133" s="37"/>
      <c r="E133" s="26"/>
      <c r="F133" s="64" t="s">
        <v>225</v>
      </c>
      <c r="G133" s="57" t="s">
        <v>297</v>
      </c>
      <c r="H133" s="12"/>
      <c r="I133" s="12"/>
      <c r="J133" s="43">
        <v>1</v>
      </c>
      <c r="K133" s="27" t="s">
        <v>341</v>
      </c>
      <c r="L133" s="27"/>
      <c r="M133" s="27"/>
      <c r="N133" s="27"/>
      <c r="O133" s="27"/>
      <c r="P133" s="51">
        <v>2745000</v>
      </c>
      <c r="Q133" s="28">
        <f t="shared" si="7"/>
        <v>2745000</v>
      </c>
      <c r="R133" s="29" t="s">
        <v>50</v>
      </c>
      <c r="S133" s="28">
        <f t="shared" si="8"/>
        <v>-2745000</v>
      </c>
      <c r="T133" s="27" t="s">
        <v>49</v>
      </c>
      <c r="U133" s="27" t="s">
        <v>49</v>
      </c>
      <c r="V133" s="27" t="s">
        <v>49</v>
      </c>
      <c r="W133" s="27" t="s">
        <v>49</v>
      </c>
      <c r="X133" s="27" t="s">
        <v>49</v>
      </c>
      <c r="Y133" s="31" t="s">
        <v>49</v>
      </c>
      <c r="Z133" s="31"/>
      <c r="AA133" s="31" t="s">
        <v>49</v>
      </c>
      <c r="AB133" s="31"/>
      <c r="AC133" s="31" t="s">
        <v>49</v>
      </c>
      <c r="AD133" s="32">
        <v>0</v>
      </c>
      <c r="AE133" s="33">
        <f t="shared" si="12"/>
        <v>0</v>
      </c>
      <c r="AF133" s="34">
        <v>0</v>
      </c>
      <c r="AG133" s="33">
        <f t="shared" si="9"/>
        <v>0</v>
      </c>
      <c r="AH133" s="34">
        <v>0</v>
      </c>
      <c r="AI133" s="33">
        <f t="shared" si="10"/>
        <v>0</v>
      </c>
      <c r="AJ133" s="34" t="s">
        <v>49</v>
      </c>
      <c r="AK133" s="34">
        <v>0</v>
      </c>
      <c r="AL133" s="33">
        <f t="shared" si="11"/>
        <v>0</v>
      </c>
      <c r="AM133" s="35"/>
      <c r="AN133" s="34" t="s">
        <v>49</v>
      </c>
      <c r="AO133" s="34" t="s">
        <v>49</v>
      </c>
      <c r="AP133" s="34" t="s">
        <v>49</v>
      </c>
      <c r="AQ133" s="34" t="s">
        <v>49</v>
      </c>
      <c r="AR133" s="34" t="s">
        <v>49</v>
      </c>
      <c r="AS133" s="27" t="s">
        <v>183</v>
      </c>
      <c r="AT133" s="34" t="s">
        <v>49</v>
      </c>
      <c r="AU133" s="73" t="s">
        <v>358</v>
      </c>
      <c r="AV133" s="68"/>
    </row>
    <row r="134" spans="1:50" ht="56.25" x14ac:dyDescent="0.2">
      <c r="A134" s="23">
        <v>126</v>
      </c>
      <c r="B134" s="23" t="s">
        <v>52</v>
      </c>
      <c r="C134" s="24"/>
      <c r="D134" s="37"/>
      <c r="E134" s="26"/>
      <c r="F134" s="64" t="s">
        <v>226</v>
      </c>
      <c r="G134" s="57" t="s">
        <v>298</v>
      </c>
      <c r="H134" s="12"/>
      <c r="I134" s="12"/>
      <c r="J134" s="43">
        <v>3</v>
      </c>
      <c r="K134" s="27" t="s">
        <v>341</v>
      </c>
      <c r="L134" s="27"/>
      <c r="M134" s="27"/>
      <c r="N134" s="27"/>
      <c r="O134" s="27"/>
      <c r="P134" s="51">
        <v>6750000</v>
      </c>
      <c r="Q134" s="28">
        <f t="shared" si="7"/>
        <v>20250000</v>
      </c>
      <c r="R134" s="29" t="s">
        <v>50</v>
      </c>
      <c r="S134" s="28">
        <f t="shared" si="8"/>
        <v>-20250000</v>
      </c>
      <c r="T134" s="27" t="s">
        <v>49</v>
      </c>
      <c r="U134" s="27" t="s">
        <v>49</v>
      </c>
      <c r="V134" s="27" t="s">
        <v>49</v>
      </c>
      <c r="W134" s="27" t="s">
        <v>49</v>
      </c>
      <c r="X134" s="27" t="s">
        <v>49</v>
      </c>
      <c r="Y134" s="31" t="s">
        <v>49</v>
      </c>
      <c r="Z134" s="31"/>
      <c r="AA134" s="31" t="s">
        <v>49</v>
      </c>
      <c r="AB134" s="31"/>
      <c r="AC134" s="31" t="s">
        <v>49</v>
      </c>
      <c r="AD134" s="32">
        <v>0</v>
      </c>
      <c r="AE134" s="33">
        <f t="shared" si="12"/>
        <v>0</v>
      </c>
      <c r="AF134" s="34">
        <v>0</v>
      </c>
      <c r="AG134" s="33">
        <f t="shared" si="9"/>
        <v>0</v>
      </c>
      <c r="AH134" s="34">
        <v>0</v>
      </c>
      <c r="AI134" s="33">
        <f t="shared" si="10"/>
        <v>0</v>
      </c>
      <c r="AJ134" s="34" t="s">
        <v>49</v>
      </c>
      <c r="AK134" s="34">
        <v>0</v>
      </c>
      <c r="AL134" s="33">
        <f t="shared" si="11"/>
        <v>0</v>
      </c>
      <c r="AM134" s="35"/>
      <c r="AN134" s="34" t="s">
        <v>49</v>
      </c>
      <c r="AO134" s="34" t="s">
        <v>49</v>
      </c>
      <c r="AP134" s="34" t="s">
        <v>49</v>
      </c>
      <c r="AQ134" s="34" t="s">
        <v>49</v>
      </c>
      <c r="AR134" s="34" t="s">
        <v>49</v>
      </c>
      <c r="AS134" s="27" t="s">
        <v>183</v>
      </c>
      <c r="AT134" s="34" t="s">
        <v>49</v>
      </c>
      <c r="AU134" s="73" t="s">
        <v>358</v>
      </c>
      <c r="AV134" s="79">
        <v>96174</v>
      </c>
      <c r="AW134" s="1" t="s">
        <v>400</v>
      </c>
      <c r="AX134" s="79" t="s">
        <v>389</v>
      </c>
    </row>
    <row r="135" spans="1:50" ht="37.5" x14ac:dyDescent="0.2">
      <c r="A135" s="23">
        <v>127</v>
      </c>
      <c r="B135" s="23" t="s">
        <v>52</v>
      </c>
      <c r="C135" s="24"/>
      <c r="D135" s="37"/>
      <c r="E135" s="26"/>
      <c r="F135" s="64" t="s">
        <v>227</v>
      </c>
      <c r="G135" s="100" t="s">
        <v>299</v>
      </c>
      <c r="H135" s="12"/>
      <c r="I135" s="12"/>
      <c r="J135" s="43">
        <v>1</v>
      </c>
      <c r="K135" s="27" t="s">
        <v>341</v>
      </c>
      <c r="L135" s="27"/>
      <c r="M135" s="27"/>
      <c r="N135" s="27"/>
      <c r="O135" s="27"/>
      <c r="P135" s="51">
        <v>3244500</v>
      </c>
      <c r="Q135" s="28">
        <f t="shared" si="7"/>
        <v>3244500</v>
      </c>
      <c r="R135" s="29" t="s">
        <v>50</v>
      </c>
      <c r="S135" s="28">
        <f t="shared" si="8"/>
        <v>-3244500</v>
      </c>
      <c r="T135" s="27" t="s">
        <v>49</v>
      </c>
      <c r="U135" s="27" t="s">
        <v>49</v>
      </c>
      <c r="V135" s="27" t="s">
        <v>49</v>
      </c>
      <c r="W135" s="27" t="s">
        <v>49</v>
      </c>
      <c r="X135" s="27" t="s">
        <v>49</v>
      </c>
      <c r="Y135" s="31" t="s">
        <v>49</v>
      </c>
      <c r="Z135" s="31"/>
      <c r="AA135" s="31" t="s">
        <v>49</v>
      </c>
      <c r="AB135" s="31"/>
      <c r="AC135" s="31" t="s">
        <v>49</v>
      </c>
      <c r="AD135" s="32">
        <v>0</v>
      </c>
      <c r="AE135" s="33">
        <f t="shared" si="12"/>
        <v>0</v>
      </c>
      <c r="AF135" s="34">
        <v>0</v>
      </c>
      <c r="AG135" s="33">
        <f t="shared" si="9"/>
        <v>0</v>
      </c>
      <c r="AH135" s="34">
        <v>0</v>
      </c>
      <c r="AI135" s="33">
        <f t="shared" si="10"/>
        <v>0</v>
      </c>
      <c r="AJ135" s="34" t="s">
        <v>49</v>
      </c>
      <c r="AK135" s="34">
        <v>0</v>
      </c>
      <c r="AL135" s="33">
        <f t="shared" si="11"/>
        <v>0</v>
      </c>
      <c r="AM135" s="35"/>
      <c r="AN135" s="34" t="s">
        <v>49</v>
      </c>
      <c r="AO135" s="34" t="s">
        <v>49</v>
      </c>
      <c r="AP135" s="34" t="s">
        <v>49</v>
      </c>
      <c r="AQ135" s="34" t="s">
        <v>49</v>
      </c>
      <c r="AR135" s="34" t="s">
        <v>49</v>
      </c>
      <c r="AS135" s="27" t="s">
        <v>183</v>
      </c>
      <c r="AT135" s="34" t="s">
        <v>49</v>
      </c>
      <c r="AU135" s="73" t="s">
        <v>371</v>
      </c>
      <c r="AV135" s="68"/>
    </row>
    <row r="136" spans="1:50" ht="37.5" x14ac:dyDescent="0.2">
      <c r="A136" s="23">
        <v>128</v>
      </c>
      <c r="B136" s="23" t="s">
        <v>52</v>
      </c>
      <c r="C136" s="24"/>
      <c r="D136" s="37"/>
      <c r="E136" s="26"/>
      <c r="F136" s="64" t="s">
        <v>228</v>
      </c>
      <c r="G136" s="100" t="s">
        <v>299</v>
      </c>
      <c r="H136" s="12"/>
      <c r="I136" s="12"/>
      <c r="J136" s="43">
        <v>1</v>
      </c>
      <c r="K136" s="27" t="s">
        <v>341</v>
      </c>
      <c r="L136" s="27"/>
      <c r="M136" s="27"/>
      <c r="N136" s="27"/>
      <c r="O136" s="27"/>
      <c r="P136" s="51">
        <v>3244500</v>
      </c>
      <c r="Q136" s="28">
        <f t="shared" si="7"/>
        <v>3244500</v>
      </c>
      <c r="R136" s="29" t="s">
        <v>50</v>
      </c>
      <c r="S136" s="28">
        <f t="shared" si="8"/>
        <v>-3244500</v>
      </c>
      <c r="T136" s="27" t="s">
        <v>49</v>
      </c>
      <c r="U136" s="27" t="s">
        <v>49</v>
      </c>
      <c r="V136" s="27" t="s">
        <v>49</v>
      </c>
      <c r="W136" s="27" t="s">
        <v>49</v>
      </c>
      <c r="X136" s="27" t="s">
        <v>49</v>
      </c>
      <c r="Y136" s="31" t="s">
        <v>49</v>
      </c>
      <c r="Z136" s="31"/>
      <c r="AA136" s="31" t="s">
        <v>49</v>
      </c>
      <c r="AB136" s="31"/>
      <c r="AC136" s="31" t="s">
        <v>49</v>
      </c>
      <c r="AD136" s="32">
        <v>0</v>
      </c>
      <c r="AE136" s="33">
        <f t="shared" si="12"/>
        <v>0</v>
      </c>
      <c r="AF136" s="34">
        <v>0</v>
      </c>
      <c r="AG136" s="33">
        <f t="shared" si="9"/>
        <v>0</v>
      </c>
      <c r="AH136" s="34">
        <v>0</v>
      </c>
      <c r="AI136" s="33">
        <f t="shared" si="10"/>
        <v>0</v>
      </c>
      <c r="AJ136" s="34" t="s">
        <v>49</v>
      </c>
      <c r="AK136" s="34">
        <v>0</v>
      </c>
      <c r="AL136" s="33">
        <f t="shared" si="11"/>
        <v>0</v>
      </c>
      <c r="AM136" s="35"/>
      <c r="AN136" s="34" t="s">
        <v>49</v>
      </c>
      <c r="AO136" s="34" t="s">
        <v>49</v>
      </c>
      <c r="AP136" s="34" t="s">
        <v>49</v>
      </c>
      <c r="AQ136" s="34" t="s">
        <v>49</v>
      </c>
      <c r="AR136" s="34" t="s">
        <v>49</v>
      </c>
      <c r="AS136" s="27" t="s">
        <v>183</v>
      </c>
      <c r="AT136" s="34" t="s">
        <v>49</v>
      </c>
      <c r="AU136" s="73" t="s">
        <v>356</v>
      </c>
      <c r="AV136" s="68"/>
    </row>
    <row r="137" spans="1:50" ht="56.25" x14ac:dyDescent="0.2">
      <c r="A137" s="23">
        <v>129</v>
      </c>
      <c r="B137" s="23" t="s">
        <v>52</v>
      </c>
      <c r="C137" s="24"/>
      <c r="D137" s="37"/>
      <c r="E137" s="26"/>
      <c r="F137" s="64" t="s">
        <v>229</v>
      </c>
      <c r="G137" s="100" t="s">
        <v>300</v>
      </c>
      <c r="H137" s="12"/>
      <c r="I137" s="12"/>
      <c r="J137" s="43">
        <v>1</v>
      </c>
      <c r="K137" s="27" t="s">
        <v>341</v>
      </c>
      <c r="L137" s="27"/>
      <c r="M137" s="27"/>
      <c r="N137" s="27"/>
      <c r="O137" s="27"/>
      <c r="P137" s="51">
        <v>9000000</v>
      </c>
      <c r="Q137" s="28">
        <f t="shared" ref="Q137:Q190" si="13">J137*P137</f>
        <v>9000000</v>
      </c>
      <c r="R137" s="29" t="s">
        <v>50</v>
      </c>
      <c r="S137" s="28">
        <f t="shared" ref="S137:S190" si="14">E137-Q137</f>
        <v>-9000000</v>
      </c>
      <c r="T137" s="27" t="s">
        <v>49</v>
      </c>
      <c r="U137" s="27" t="s">
        <v>49</v>
      </c>
      <c r="V137" s="27" t="s">
        <v>49</v>
      </c>
      <c r="W137" s="27" t="s">
        <v>49</v>
      </c>
      <c r="X137" s="27" t="s">
        <v>49</v>
      </c>
      <c r="Y137" s="31" t="s">
        <v>49</v>
      </c>
      <c r="Z137" s="31"/>
      <c r="AA137" s="31" t="s">
        <v>49</v>
      </c>
      <c r="AB137" s="31"/>
      <c r="AC137" s="31" t="s">
        <v>49</v>
      </c>
      <c r="AD137" s="32">
        <v>0</v>
      </c>
      <c r="AE137" s="33">
        <f t="shared" si="12"/>
        <v>0</v>
      </c>
      <c r="AF137" s="34">
        <v>0</v>
      </c>
      <c r="AG137" s="33">
        <f t="shared" ref="AG137:AG190" si="15">C137*AF137</f>
        <v>0</v>
      </c>
      <c r="AH137" s="34">
        <v>0</v>
      </c>
      <c r="AI137" s="33">
        <f t="shared" ref="AI137:AI190" si="16">C137*AH137</f>
        <v>0</v>
      </c>
      <c r="AJ137" s="34" t="s">
        <v>49</v>
      </c>
      <c r="AK137" s="34">
        <v>0</v>
      </c>
      <c r="AL137" s="33">
        <f t="shared" ref="AL137:AL190" si="17">C137*AK137</f>
        <v>0</v>
      </c>
      <c r="AM137" s="35"/>
      <c r="AN137" s="34" t="s">
        <v>49</v>
      </c>
      <c r="AO137" s="34" t="s">
        <v>49</v>
      </c>
      <c r="AP137" s="34" t="s">
        <v>49</v>
      </c>
      <c r="AQ137" s="34" t="s">
        <v>49</v>
      </c>
      <c r="AR137" s="34" t="s">
        <v>49</v>
      </c>
      <c r="AS137" s="27" t="s">
        <v>183</v>
      </c>
      <c r="AT137" s="34" t="s">
        <v>49</v>
      </c>
      <c r="AU137" s="73" t="s">
        <v>356</v>
      </c>
      <c r="AV137" s="68"/>
    </row>
    <row r="138" spans="1:50" ht="37.5" x14ac:dyDescent="0.2">
      <c r="A138" s="23">
        <v>130</v>
      </c>
      <c r="B138" s="23" t="s">
        <v>52</v>
      </c>
      <c r="C138" s="24"/>
      <c r="D138" s="37"/>
      <c r="E138" s="26"/>
      <c r="F138" s="64" t="s">
        <v>230</v>
      </c>
      <c r="G138" s="57" t="s">
        <v>301</v>
      </c>
      <c r="H138" s="12"/>
      <c r="I138" s="12"/>
      <c r="J138" s="43">
        <v>3</v>
      </c>
      <c r="K138" s="27" t="s">
        <v>341</v>
      </c>
      <c r="L138" s="27"/>
      <c r="M138" s="27"/>
      <c r="N138" s="27"/>
      <c r="O138" s="27"/>
      <c r="P138" s="51">
        <v>1710000</v>
      </c>
      <c r="Q138" s="28">
        <f t="shared" si="13"/>
        <v>5130000</v>
      </c>
      <c r="R138" s="29" t="s">
        <v>50</v>
      </c>
      <c r="S138" s="28">
        <f t="shared" si="14"/>
        <v>-5130000</v>
      </c>
      <c r="T138" s="27" t="s">
        <v>49</v>
      </c>
      <c r="U138" s="27" t="s">
        <v>49</v>
      </c>
      <c r="V138" s="27" t="s">
        <v>49</v>
      </c>
      <c r="W138" s="27" t="s">
        <v>49</v>
      </c>
      <c r="X138" s="27" t="s">
        <v>49</v>
      </c>
      <c r="Y138" s="31" t="s">
        <v>49</v>
      </c>
      <c r="Z138" s="31"/>
      <c r="AA138" s="31" t="s">
        <v>49</v>
      </c>
      <c r="AB138" s="31"/>
      <c r="AC138" s="31" t="s">
        <v>49</v>
      </c>
      <c r="AD138" s="32">
        <v>0</v>
      </c>
      <c r="AE138" s="33">
        <f t="shared" si="12"/>
        <v>0</v>
      </c>
      <c r="AF138" s="34">
        <v>0</v>
      </c>
      <c r="AG138" s="33">
        <f t="shared" si="15"/>
        <v>0</v>
      </c>
      <c r="AH138" s="34">
        <v>0</v>
      </c>
      <c r="AI138" s="33">
        <f t="shared" si="16"/>
        <v>0</v>
      </c>
      <c r="AJ138" s="34" t="s">
        <v>49</v>
      </c>
      <c r="AK138" s="34">
        <v>0</v>
      </c>
      <c r="AL138" s="33">
        <f t="shared" si="17"/>
        <v>0</v>
      </c>
      <c r="AM138" s="35"/>
      <c r="AN138" s="34" t="s">
        <v>49</v>
      </c>
      <c r="AO138" s="34" t="s">
        <v>49</v>
      </c>
      <c r="AP138" s="34" t="s">
        <v>49</v>
      </c>
      <c r="AQ138" s="34" t="s">
        <v>49</v>
      </c>
      <c r="AR138" s="34" t="s">
        <v>49</v>
      </c>
      <c r="AS138" s="27" t="s">
        <v>183</v>
      </c>
      <c r="AT138" s="34" t="s">
        <v>49</v>
      </c>
      <c r="AU138" s="73" t="s">
        <v>356</v>
      </c>
      <c r="AV138" s="68"/>
    </row>
    <row r="139" spans="1:50" ht="112.5" x14ac:dyDescent="0.2">
      <c r="A139" s="23">
        <v>131</v>
      </c>
      <c r="B139" s="23" t="s">
        <v>52</v>
      </c>
      <c r="C139" s="24"/>
      <c r="D139" s="37"/>
      <c r="E139" s="26"/>
      <c r="F139" s="64" t="s">
        <v>231</v>
      </c>
      <c r="G139" s="57"/>
      <c r="H139" s="12"/>
      <c r="I139" s="12"/>
      <c r="J139" s="43">
        <v>1</v>
      </c>
      <c r="K139" s="27" t="s">
        <v>341</v>
      </c>
      <c r="L139" s="27"/>
      <c r="M139" s="27"/>
      <c r="N139" s="27"/>
      <c r="O139" s="27"/>
      <c r="P139" s="51">
        <v>819000</v>
      </c>
      <c r="Q139" s="28">
        <f t="shared" si="13"/>
        <v>819000</v>
      </c>
      <c r="R139" s="29" t="s">
        <v>50</v>
      </c>
      <c r="S139" s="28">
        <f t="shared" si="14"/>
        <v>-819000</v>
      </c>
      <c r="T139" s="27" t="s">
        <v>49</v>
      </c>
      <c r="U139" s="27" t="s">
        <v>49</v>
      </c>
      <c r="V139" s="27" t="s">
        <v>49</v>
      </c>
      <c r="W139" s="27" t="s">
        <v>49</v>
      </c>
      <c r="X139" s="27" t="s">
        <v>49</v>
      </c>
      <c r="Y139" s="31" t="s">
        <v>49</v>
      </c>
      <c r="Z139" s="31"/>
      <c r="AA139" s="31" t="s">
        <v>49</v>
      </c>
      <c r="AB139" s="31"/>
      <c r="AC139" s="31" t="s">
        <v>49</v>
      </c>
      <c r="AD139" s="32">
        <v>0</v>
      </c>
      <c r="AE139" s="33">
        <f t="shared" si="12"/>
        <v>0</v>
      </c>
      <c r="AF139" s="34">
        <v>0</v>
      </c>
      <c r="AG139" s="33">
        <f t="shared" si="15"/>
        <v>0</v>
      </c>
      <c r="AH139" s="34">
        <v>0</v>
      </c>
      <c r="AI139" s="33">
        <f t="shared" si="16"/>
        <v>0</v>
      </c>
      <c r="AJ139" s="34" t="s">
        <v>49</v>
      </c>
      <c r="AK139" s="34">
        <v>0</v>
      </c>
      <c r="AL139" s="33">
        <f t="shared" si="17"/>
        <v>0</v>
      </c>
      <c r="AM139" s="35"/>
      <c r="AN139" s="34" t="s">
        <v>49</v>
      </c>
      <c r="AO139" s="34" t="s">
        <v>49</v>
      </c>
      <c r="AP139" s="34" t="s">
        <v>49</v>
      </c>
      <c r="AQ139" s="34" t="s">
        <v>49</v>
      </c>
      <c r="AR139" s="34" t="s">
        <v>49</v>
      </c>
      <c r="AS139" s="27" t="s">
        <v>183</v>
      </c>
      <c r="AT139" s="34" t="s">
        <v>49</v>
      </c>
      <c r="AU139" s="73" t="s">
        <v>358</v>
      </c>
      <c r="AV139" s="79">
        <v>595000</v>
      </c>
    </row>
    <row r="140" spans="1:50" ht="47.25" x14ac:dyDescent="0.2">
      <c r="A140" s="23">
        <v>132</v>
      </c>
      <c r="B140" s="23" t="s">
        <v>52</v>
      </c>
      <c r="C140" s="24"/>
      <c r="D140" s="37"/>
      <c r="E140" s="26"/>
      <c r="F140" s="64" t="s">
        <v>232</v>
      </c>
      <c r="G140" s="57" t="s">
        <v>302</v>
      </c>
      <c r="H140" s="12"/>
      <c r="I140" s="12"/>
      <c r="J140" s="43">
        <v>1</v>
      </c>
      <c r="K140" s="27" t="s">
        <v>341</v>
      </c>
      <c r="L140" s="27"/>
      <c r="M140" s="27"/>
      <c r="N140" s="27"/>
      <c r="O140" s="27"/>
      <c r="P140" s="51">
        <v>589500</v>
      </c>
      <c r="Q140" s="28">
        <f t="shared" si="13"/>
        <v>589500</v>
      </c>
      <c r="R140" s="29" t="s">
        <v>50</v>
      </c>
      <c r="S140" s="28">
        <f t="shared" si="14"/>
        <v>-589500</v>
      </c>
      <c r="T140" s="27" t="s">
        <v>49</v>
      </c>
      <c r="U140" s="27" t="s">
        <v>49</v>
      </c>
      <c r="V140" s="27" t="s">
        <v>49</v>
      </c>
      <c r="W140" s="27" t="s">
        <v>49</v>
      </c>
      <c r="X140" s="27" t="s">
        <v>49</v>
      </c>
      <c r="Y140" s="31" t="s">
        <v>49</v>
      </c>
      <c r="Z140" s="31"/>
      <c r="AA140" s="31" t="s">
        <v>49</v>
      </c>
      <c r="AB140" s="31"/>
      <c r="AC140" s="31" t="s">
        <v>49</v>
      </c>
      <c r="AD140" s="32">
        <v>0</v>
      </c>
      <c r="AE140" s="33">
        <f t="shared" si="12"/>
        <v>0</v>
      </c>
      <c r="AF140" s="34">
        <v>0</v>
      </c>
      <c r="AG140" s="33">
        <f t="shared" si="15"/>
        <v>0</v>
      </c>
      <c r="AH140" s="34">
        <v>0</v>
      </c>
      <c r="AI140" s="33">
        <f t="shared" si="16"/>
        <v>0</v>
      </c>
      <c r="AJ140" s="34" t="s">
        <v>49</v>
      </c>
      <c r="AK140" s="34">
        <v>0</v>
      </c>
      <c r="AL140" s="33">
        <f t="shared" si="17"/>
        <v>0</v>
      </c>
      <c r="AM140" s="35"/>
      <c r="AN140" s="34" t="s">
        <v>49</v>
      </c>
      <c r="AO140" s="34" t="s">
        <v>49</v>
      </c>
      <c r="AP140" s="34" t="s">
        <v>49</v>
      </c>
      <c r="AQ140" s="34" t="s">
        <v>49</v>
      </c>
      <c r="AR140" s="34" t="s">
        <v>49</v>
      </c>
      <c r="AS140" s="27" t="s">
        <v>183</v>
      </c>
      <c r="AT140" s="34" t="s">
        <v>49</v>
      </c>
      <c r="AU140" s="73" t="s">
        <v>358</v>
      </c>
      <c r="AV140" s="68"/>
    </row>
    <row r="141" spans="1:50" ht="75" x14ac:dyDescent="0.2">
      <c r="A141" s="23">
        <v>133</v>
      </c>
      <c r="B141" s="23" t="s">
        <v>52</v>
      </c>
      <c r="C141" s="24"/>
      <c r="D141" s="37"/>
      <c r="E141" s="26"/>
      <c r="F141" s="64" t="s">
        <v>233</v>
      </c>
      <c r="G141" s="57" t="s">
        <v>284</v>
      </c>
      <c r="H141" s="12"/>
      <c r="I141" s="12"/>
      <c r="J141" s="43">
        <v>1</v>
      </c>
      <c r="K141" s="27" t="s">
        <v>341</v>
      </c>
      <c r="L141" s="27"/>
      <c r="M141" s="27"/>
      <c r="N141" s="27"/>
      <c r="O141" s="27"/>
      <c r="P141" s="51">
        <v>8100000</v>
      </c>
      <c r="Q141" s="28">
        <f t="shared" si="13"/>
        <v>8100000</v>
      </c>
      <c r="R141" s="29" t="s">
        <v>50</v>
      </c>
      <c r="S141" s="28">
        <f t="shared" si="14"/>
        <v>-8100000</v>
      </c>
      <c r="T141" s="27" t="s">
        <v>49</v>
      </c>
      <c r="U141" s="27" t="s">
        <v>49</v>
      </c>
      <c r="V141" s="27" t="s">
        <v>49</v>
      </c>
      <c r="W141" s="27" t="s">
        <v>49</v>
      </c>
      <c r="X141" s="27" t="s">
        <v>49</v>
      </c>
      <c r="Y141" s="31" t="s">
        <v>49</v>
      </c>
      <c r="Z141" s="31"/>
      <c r="AA141" s="31" t="s">
        <v>49</v>
      </c>
      <c r="AB141" s="31"/>
      <c r="AC141" s="31" t="s">
        <v>49</v>
      </c>
      <c r="AD141" s="32">
        <v>0</v>
      </c>
      <c r="AE141" s="33">
        <f t="shared" si="12"/>
        <v>0</v>
      </c>
      <c r="AF141" s="34">
        <v>0</v>
      </c>
      <c r="AG141" s="33">
        <f t="shared" si="15"/>
        <v>0</v>
      </c>
      <c r="AH141" s="34">
        <v>0</v>
      </c>
      <c r="AI141" s="33">
        <f t="shared" si="16"/>
        <v>0</v>
      </c>
      <c r="AJ141" s="34" t="s">
        <v>49</v>
      </c>
      <c r="AK141" s="34">
        <v>0</v>
      </c>
      <c r="AL141" s="33">
        <f t="shared" si="17"/>
        <v>0</v>
      </c>
      <c r="AM141" s="35"/>
      <c r="AN141" s="34" t="s">
        <v>49</v>
      </c>
      <c r="AO141" s="34" t="s">
        <v>49</v>
      </c>
      <c r="AP141" s="34" t="s">
        <v>49</v>
      </c>
      <c r="AQ141" s="34" t="s">
        <v>49</v>
      </c>
      <c r="AR141" s="34" t="s">
        <v>49</v>
      </c>
      <c r="AS141" s="27" t="s">
        <v>183</v>
      </c>
      <c r="AT141" s="34" t="s">
        <v>49</v>
      </c>
      <c r="AU141" s="73" t="s">
        <v>358</v>
      </c>
      <c r="AV141" s="68"/>
    </row>
    <row r="142" spans="1:50" ht="75" x14ac:dyDescent="0.2">
      <c r="A142" s="23">
        <v>134</v>
      </c>
      <c r="B142" s="23" t="s">
        <v>52</v>
      </c>
      <c r="C142" s="24"/>
      <c r="D142" s="37"/>
      <c r="E142" s="26"/>
      <c r="F142" s="64" t="s">
        <v>234</v>
      </c>
      <c r="G142" s="57" t="s">
        <v>303</v>
      </c>
      <c r="H142" s="12"/>
      <c r="I142" s="12"/>
      <c r="J142" s="43">
        <v>1</v>
      </c>
      <c r="K142" s="27" t="s">
        <v>341</v>
      </c>
      <c r="L142" s="27"/>
      <c r="M142" s="27"/>
      <c r="N142" s="27"/>
      <c r="O142" s="27"/>
      <c r="P142" s="51">
        <v>2475000</v>
      </c>
      <c r="Q142" s="28">
        <f t="shared" si="13"/>
        <v>2475000</v>
      </c>
      <c r="R142" s="29" t="s">
        <v>50</v>
      </c>
      <c r="S142" s="28">
        <f t="shared" si="14"/>
        <v>-2475000</v>
      </c>
      <c r="T142" s="27" t="s">
        <v>49</v>
      </c>
      <c r="U142" s="27" t="s">
        <v>49</v>
      </c>
      <c r="V142" s="27" t="s">
        <v>49</v>
      </c>
      <c r="W142" s="27" t="s">
        <v>49</v>
      </c>
      <c r="X142" s="27" t="s">
        <v>49</v>
      </c>
      <c r="Y142" s="31" t="s">
        <v>49</v>
      </c>
      <c r="Z142" s="31"/>
      <c r="AA142" s="31" t="s">
        <v>49</v>
      </c>
      <c r="AB142" s="31"/>
      <c r="AC142" s="31" t="s">
        <v>49</v>
      </c>
      <c r="AD142" s="32">
        <v>0</v>
      </c>
      <c r="AE142" s="33">
        <f t="shared" si="12"/>
        <v>0</v>
      </c>
      <c r="AF142" s="34">
        <v>0</v>
      </c>
      <c r="AG142" s="33">
        <f t="shared" si="15"/>
        <v>0</v>
      </c>
      <c r="AH142" s="34">
        <v>0</v>
      </c>
      <c r="AI142" s="33">
        <f t="shared" si="16"/>
        <v>0</v>
      </c>
      <c r="AJ142" s="34" t="s">
        <v>49</v>
      </c>
      <c r="AK142" s="34">
        <v>0</v>
      </c>
      <c r="AL142" s="33">
        <f t="shared" si="17"/>
        <v>0</v>
      </c>
      <c r="AM142" s="35"/>
      <c r="AN142" s="34" t="s">
        <v>49</v>
      </c>
      <c r="AO142" s="34" t="s">
        <v>49</v>
      </c>
      <c r="AP142" s="34" t="s">
        <v>49</v>
      </c>
      <c r="AQ142" s="34" t="s">
        <v>49</v>
      </c>
      <c r="AR142" s="34" t="s">
        <v>49</v>
      </c>
      <c r="AS142" s="27" t="s">
        <v>183</v>
      </c>
      <c r="AT142" s="34" t="s">
        <v>49</v>
      </c>
      <c r="AU142" s="73" t="s">
        <v>358</v>
      </c>
      <c r="AV142" s="68"/>
    </row>
    <row r="143" spans="1:50" ht="78.75" x14ac:dyDescent="0.2">
      <c r="A143" s="23">
        <v>135</v>
      </c>
      <c r="B143" s="23" t="s">
        <v>52</v>
      </c>
      <c r="C143" s="24"/>
      <c r="D143" s="37"/>
      <c r="E143" s="26"/>
      <c r="F143" s="64" t="s">
        <v>235</v>
      </c>
      <c r="G143" s="57" t="s">
        <v>304</v>
      </c>
      <c r="H143" s="12"/>
      <c r="I143" s="12"/>
      <c r="J143" s="43">
        <v>1</v>
      </c>
      <c r="K143" s="27" t="s">
        <v>341</v>
      </c>
      <c r="L143" s="27"/>
      <c r="M143" s="27"/>
      <c r="N143" s="27"/>
      <c r="O143" s="27"/>
      <c r="P143" s="51">
        <v>2475000</v>
      </c>
      <c r="Q143" s="28">
        <f t="shared" si="13"/>
        <v>2475000</v>
      </c>
      <c r="R143" s="29" t="s">
        <v>50</v>
      </c>
      <c r="S143" s="28">
        <f t="shared" si="14"/>
        <v>-2475000</v>
      </c>
      <c r="T143" s="27" t="s">
        <v>49</v>
      </c>
      <c r="U143" s="27" t="s">
        <v>49</v>
      </c>
      <c r="V143" s="27" t="s">
        <v>49</v>
      </c>
      <c r="W143" s="27" t="s">
        <v>49</v>
      </c>
      <c r="X143" s="27" t="s">
        <v>49</v>
      </c>
      <c r="Y143" s="31" t="s">
        <v>49</v>
      </c>
      <c r="Z143" s="31"/>
      <c r="AA143" s="31" t="s">
        <v>49</v>
      </c>
      <c r="AB143" s="31"/>
      <c r="AC143" s="31" t="s">
        <v>49</v>
      </c>
      <c r="AD143" s="32">
        <v>0</v>
      </c>
      <c r="AE143" s="33">
        <f t="shared" si="12"/>
        <v>0</v>
      </c>
      <c r="AF143" s="34">
        <v>0</v>
      </c>
      <c r="AG143" s="33">
        <f t="shared" si="15"/>
        <v>0</v>
      </c>
      <c r="AH143" s="34">
        <v>0</v>
      </c>
      <c r="AI143" s="33">
        <f t="shared" si="16"/>
        <v>0</v>
      </c>
      <c r="AJ143" s="34" t="s">
        <v>49</v>
      </c>
      <c r="AK143" s="34">
        <v>0</v>
      </c>
      <c r="AL143" s="33">
        <f t="shared" si="17"/>
        <v>0</v>
      </c>
      <c r="AM143" s="35"/>
      <c r="AN143" s="34" t="s">
        <v>49</v>
      </c>
      <c r="AO143" s="34" t="s">
        <v>49</v>
      </c>
      <c r="AP143" s="34" t="s">
        <v>49</v>
      </c>
      <c r="AQ143" s="34" t="s">
        <v>49</v>
      </c>
      <c r="AR143" s="34" t="s">
        <v>49</v>
      </c>
      <c r="AS143" s="27" t="s">
        <v>183</v>
      </c>
      <c r="AT143" s="34" t="s">
        <v>49</v>
      </c>
      <c r="AU143" s="73" t="s">
        <v>358</v>
      </c>
      <c r="AV143" s="68"/>
    </row>
    <row r="144" spans="1:50" ht="56.25" x14ac:dyDescent="0.2">
      <c r="A144" s="23">
        <v>136</v>
      </c>
      <c r="B144" s="23" t="s">
        <v>52</v>
      </c>
      <c r="C144" s="24"/>
      <c r="D144" s="37"/>
      <c r="E144" s="26"/>
      <c r="F144" s="64" t="s">
        <v>236</v>
      </c>
      <c r="G144" s="57" t="s">
        <v>305</v>
      </c>
      <c r="H144" s="12"/>
      <c r="I144" s="12"/>
      <c r="J144" s="43">
        <v>1</v>
      </c>
      <c r="K144" s="27" t="s">
        <v>341</v>
      </c>
      <c r="L144" s="27"/>
      <c r="M144" s="27"/>
      <c r="N144" s="27"/>
      <c r="O144" s="27"/>
      <c r="P144" s="51">
        <v>724500</v>
      </c>
      <c r="Q144" s="28">
        <f t="shared" si="13"/>
        <v>724500</v>
      </c>
      <c r="R144" s="29" t="s">
        <v>50</v>
      </c>
      <c r="S144" s="28">
        <f t="shared" si="14"/>
        <v>-724500</v>
      </c>
      <c r="T144" s="27" t="s">
        <v>49</v>
      </c>
      <c r="U144" s="27" t="s">
        <v>49</v>
      </c>
      <c r="V144" s="27" t="s">
        <v>49</v>
      </c>
      <c r="W144" s="27" t="s">
        <v>49</v>
      </c>
      <c r="X144" s="27" t="s">
        <v>49</v>
      </c>
      <c r="Y144" s="31" t="s">
        <v>49</v>
      </c>
      <c r="Z144" s="31"/>
      <c r="AA144" s="31" t="s">
        <v>49</v>
      </c>
      <c r="AB144" s="31"/>
      <c r="AC144" s="31" t="s">
        <v>49</v>
      </c>
      <c r="AD144" s="32">
        <v>0</v>
      </c>
      <c r="AE144" s="33">
        <f t="shared" si="12"/>
        <v>0</v>
      </c>
      <c r="AF144" s="34">
        <v>0</v>
      </c>
      <c r="AG144" s="33">
        <f t="shared" si="15"/>
        <v>0</v>
      </c>
      <c r="AH144" s="34">
        <v>0</v>
      </c>
      <c r="AI144" s="33">
        <f t="shared" si="16"/>
        <v>0</v>
      </c>
      <c r="AJ144" s="34" t="s">
        <v>49</v>
      </c>
      <c r="AK144" s="34">
        <v>0</v>
      </c>
      <c r="AL144" s="33">
        <f t="shared" si="17"/>
        <v>0</v>
      </c>
      <c r="AM144" s="35"/>
      <c r="AN144" s="34" t="s">
        <v>49</v>
      </c>
      <c r="AO144" s="34" t="s">
        <v>49</v>
      </c>
      <c r="AP144" s="34" t="s">
        <v>49</v>
      </c>
      <c r="AQ144" s="34" t="s">
        <v>49</v>
      </c>
      <c r="AR144" s="34" t="s">
        <v>49</v>
      </c>
      <c r="AS144" s="27" t="s">
        <v>183</v>
      </c>
      <c r="AT144" s="34" t="s">
        <v>49</v>
      </c>
      <c r="AU144" s="73" t="s">
        <v>358</v>
      </c>
      <c r="AV144" s="68"/>
    </row>
    <row r="145" spans="1:48" ht="56.25" x14ac:dyDescent="0.2">
      <c r="A145" s="23">
        <v>137</v>
      </c>
      <c r="B145" s="23" t="s">
        <v>52</v>
      </c>
      <c r="C145" s="24"/>
      <c r="D145" s="37"/>
      <c r="E145" s="26"/>
      <c r="F145" s="64" t="s">
        <v>236</v>
      </c>
      <c r="G145" s="57" t="s">
        <v>305</v>
      </c>
      <c r="H145" s="12"/>
      <c r="I145" s="12"/>
      <c r="J145" s="43">
        <v>1</v>
      </c>
      <c r="K145" s="27" t="s">
        <v>341</v>
      </c>
      <c r="L145" s="27"/>
      <c r="M145" s="27"/>
      <c r="N145" s="27"/>
      <c r="O145" s="27"/>
      <c r="P145" s="51">
        <v>724500</v>
      </c>
      <c r="Q145" s="28">
        <f t="shared" si="13"/>
        <v>724500</v>
      </c>
      <c r="R145" s="29" t="s">
        <v>50</v>
      </c>
      <c r="S145" s="28">
        <f t="shared" si="14"/>
        <v>-724500</v>
      </c>
      <c r="T145" s="27" t="s">
        <v>49</v>
      </c>
      <c r="U145" s="27" t="s">
        <v>49</v>
      </c>
      <c r="V145" s="27" t="s">
        <v>49</v>
      </c>
      <c r="W145" s="27" t="s">
        <v>49</v>
      </c>
      <c r="X145" s="27" t="s">
        <v>49</v>
      </c>
      <c r="Y145" s="31" t="s">
        <v>49</v>
      </c>
      <c r="Z145" s="31"/>
      <c r="AA145" s="31" t="s">
        <v>49</v>
      </c>
      <c r="AB145" s="31"/>
      <c r="AC145" s="31" t="s">
        <v>49</v>
      </c>
      <c r="AD145" s="32">
        <v>0</v>
      </c>
      <c r="AE145" s="33">
        <f t="shared" si="12"/>
        <v>0</v>
      </c>
      <c r="AF145" s="34">
        <v>0</v>
      </c>
      <c r="AG145" s="33">
        <f t="shared" si="15"/>
        <v>0</v>
      </c>
      <c r="AH145" s="34">
        <v>0</v>
      </c>
      <c r="AI145" s="33">
        <f t="shared" si="16"/>
        <v>0</v>
      </c>
      <c r="AJ145" s="34" t="s">
        <v>49</v>
      </c>
      <c r="AK145" s="34">
        <v>0</v>
      </c>
      <c r="AL145" s="33">
        <f t="shared" si="17"/>
        <v>0</v>
      </c>
      <c r="AM145" s="35"/>
      <c r="AN145" s="34" t="s">
        <v>49</v>
      </c>
      <c r="AO145" s="34" t="s">
        <v>49</v>
      </c>
      <c r="AP145" s="34" t="s">
        <v>49</v>
      </c>
      <c r="AQ145" s="34" t="s">
        <v>49</v>
      </c>
      <c r="AR145" s="34" t="s">
        <v>49</v>
      </c>
      <c r="AS145" s="27" t="s">
        <v>183</v>
      </c>
      <c r="AT145" s="34" t="s">
        <v>49</v>
      </c>
      <c r="AU145" s="73" t="s">
        <v>358</v>
      </c>
      <c r="AV145" s="68"/>
    </row>
    <row r="146" spans="1:48" ht="75" x14ac:dyDescent="0.2">
      <c r="A146" s="23">
        <v>138</v>
      </c>
      <c r="B146" s="23" t="s">
        <v>52</v>
      </c>
      <c r="C146" s="24"/>
      <c r="D146" s="37"/>
      <c r="E146" s="26"/>
      <c r="F146" s="64" t="s">
        <v>237</v>
      </c>
      <c r="G146" s="57" t="s">
        <v>306</v>
      </c>
      <c r="H146" s="12"/>
      <c r="I146" s="12"/>
      <c r="J146" s="43">
        <v>1</v>
      </c>
      <c r="K146" s="27" t="s">
        <v>341</v>
      </c>
      <c r="L146" s="27"/>
      <c r="M146" s="27"/>
      <c r="N146" s="27"/>
      <c r="O146" s="27"/>
      <c r="P146" s="51">
        <v>2500000</v>
      </c>
      <c r="Q146" s="28">
        <f t="shared" si="13"/>
        <v>2500000</v>
      </c>
      <c r="R146" s="29" t="s">
        <v>50</v>
      </c>
      <c r="S146" s="28">
        <f t="shared" si="14"/>
        <v>-2500000</v>
      </c>
      <c r="T146" s="27" t="s">
        <v>49</v>
      </c>
      <c r="U146" s="27" t="s">
        <v>49</v>
      </c>
      <c r="V146" s="27" t="s">
        <v>49</v>
      </c>
      <c r="W146" s="27" t="s">
        <v>49</v>
      </c>
      <c r="X146" s="27" t="s">
        <v>49</v>
      </c>
      <c r="Y146" s="31" t="s">
        <v>49</v>
      </c>
      <c r="Z146" s="31"/>
      <c r="AA146" s="31" t="s">
        <v>49</v>
      </c>
      <c r="AB146" s="31"/>
      <c r="AC146" s="31" t="s">
        <v>49</v>
      </c>
      <c r="AD146" s="32">
        <v>0</v>
      </c>
      <c r="AE146" s="33">
        <f t="shared" si="12"/>
        <v>0</v>
      </c>
      <c r="AF146" s="34">
        <v>0</v>
      </c>
      <c r="AG146" s="33">
        <f t="shared" si="15"/>
        <v>0</v>
      </c>
      <c r="AH146" s="34">
        <v>0</v>
      </c>
      <c r="AI146" s="33">
        <f t="shared" si="16"/>
        <v>0</v>
      </c>
      <c r="AJ146" s="34" t="s">
        <v>49</v>
      </c>
      <c r="AK146" s="34">
        <v>0</v>
      </c>
      <c r="AL146" s="33">
        <f t="shared" si="17"/>
        <v>0</v>
      </c>
      <c r="AM146" s="35"/>
      <c r="AN146" s="34" t="s">
        <v>49</v>
      </c>
      <c r="AO146" s="34" t="s">
        <v>49</v>
      </c>
      <c r="AP146" s="34" t="s">
        <v>49</v>
      </c>
      <c r="AQ146" s="34" t="s">
        <v>49</v>
      </c>
      <c r="AR146" s="34" t="s">
        <v>49</v>
      </c>
      <c r="AS146" s="27" t="s">
        <v>183</v>
      </c>
      <c r="AT146" s="34" t="s">
        <v>49</v>
      </c>
      <c r="AU146" s="73" t="s">
        <v>358</v>
      </c>
      <c r="AV146" s="68"/>
    </row>
    <row r="147" spans="1:48" ht="75" x14ac:dyDescent="0.2">
      <c r="A147" s="23">
        <v>139</v>
      </c>
      <c r="B147" s="23" t="s">
        <v>52</v>
      </c>
      <c r="C147" s="24"/>
      <c r="D147" s="37"/>
      <c r="E147" s="26"/>
      <c r="F147" s="64" t="s">
        <v>238</v>
      </c>
      <c r="G147" s="57" t="s">
        <v>307</v>
      </c>
      <c r="H147" s="12"/>
      <c r="I147" s="12"/>
      <c r="J147" s="43">
        <v>1</v>
      </c>
      <c r="K147" s="27" t="s">
        <v>341</v>
      </c>
      <c r="L147" s="27"/>
      <c r="M147" s="27"/>
      <c r="N147" s="27"/>
      <c r="O147" s="27"/>
      <c r="P147" s="51">
        <v>2500000</v>
      </c>
      <c r="Q147" s="28">
        <f t="shared" si="13"/>
        <v>2500000</v>
      </c>
      <c r="R147" s="29" t="s">
        <v>50</v>
      </c>
      <c r="S147" s="28">
        <f t="shared" si="14"/>
        <v>-2500000</v>
      </c>
      <c r="T147" s="27" t="s">
        <v>49</v>
      </c>
      <c r="U147" s="27" t="s">
        <v>49</v>
      </c>
      <c r="V147" s="27" t="s">
        <v>49</v>
      </c>
      <c r="W147" s="27" t="s">
        <v>49</v>
      </c>
      <c r="X147" s="27" t="s">
        <v>49</v>
      </c>
      <c r="Y147" s="31" t="s">
        <v>49</v>
      </c>
      <c r="Z147" s="31"/>
      <c r="AA147" s="31" t="s">
        <v>49</v>
      </c>
      <c r="AB147" s="31"/>
      <c r="AC147" s="31" t="s">
        <v>49</v>
      </c>
      <c r="AD147" s="32">
        <v>0</v>
      </c>
      <c r="AE147" s="33">
        <f t="shared" si="12"/>
        <v>0</v>
      </c>
      <c r="AF147" s="34">
        <v>0</v>
      </c>
      <c r="AG147" s="33">
        <f t="shared" si="15"/>
        <v>0</v>
      </c>
      <c r="AH147" s="34">
        <v>0</v>
      </c>
      <c r="AI147" s="33">
        <f t="shared" si="16"/>
        <v>0</v>
      </c>
      <c r="AJ147" s="34" t="s">
        <v>49</v>
      </c>
      <c r="AK147" s="34">
        <v>0</v>
      </c>
      <c r="AL147" s="33">
        <f t="shared" si="17"/>
        <v>0</v>
      </c>
      <c r="AM147" s="35"/>
      <c r="AN147" s="34" t="s">
        <v>49</v>
      </c>
      <c r="AO147" s="34" t="s">
        <v>49</v>
      </c>
      <c r="AP147" s="34" t="s">
        <v>49</v>
      </c>
      <c r="AQ147" s="34" t="s">
        <v>49</v>
      </c>
      <c r="AR147" s="34" t="s">
        <v>49</v>
      </c>
      <c r="AS147" s="27" t="s">
        <v>183</v>
      </c>
      <c r="AT147" s="34" t="s">
        <v>49</v>
      </c>
      <c r="AU147" s="73" t="s">
        <v>358</v>
      </c>
      <c r="AV147" s="68"/>
    </row>
    <row r="148" spans="1:48" ht="63" x14ac:dyDescent="0.2">
      <c r="A148" s="23">
        <v>140</v>
      </c>
      <c r="B148" s="23" t="s">
        <v>52</v>
      </c>
      <c r="C148" s="24"/>
      <c r="D148" s="37"/>
      <c r="E148" s="26"/>
      <c r="F148" s="64" t="s">
        <v>239</v>
      </c>
      <c r="G148" s="57" t="s">
        <v>308</v>
      </c>
      <c r="H148" s="12"/>
      <c r="I148" s="12"/>
      <c r="J148" s="43">
        <v>1</v>
      </c>
      <c r="K148" s="27" t="s">
        <v>341</v>
      </c>
      <c r="L148" s="27"/>
      <c r="M148" s="27"/>
      <c r="N148" s="27"/>
      <c r="O148" s="27"/>
      <c r="P148" s="51">
        <v>500000</v>
      </c>
      <c r="Q148" s="28">
        <f t="shared" si="13"/>
        <v>500000</v>
      </c>
      <c r="R148" s="29" t="s">
        <v>50</v>
      </c>
      <c r="S148" s="28">
        <f t="shared" si="14"/>
        <v>-500000</v>
      </c>
      <c r="T148" s="27" t="s">
        <v>49</v>
      </c>
      <c r="U148" s="27" t="s">
        <v>49</v>
      </c>
      <c r="V148" s="27" t="s">
        <v>49</v>
      </c>
      <c r="W148" s="27" t="s">
        <v>49</v>
      </c>
      <c r="X148" s="27" t="s">
        <v>49</v>
      </c>
      <c r="Y148" s="31" t="s">
        <v>49</v>
      </c>
      <c r="Z148" s="31"/>
      <c r="AA148" s="31" t="s">
        <v>49</v>
      </c>
      <c r="AB148" s="31"/>
      <c r="AC148" s="31" t="s">
        <v>49</v>
      </c>
      <c r="AD148" s="32">
        <v>0</v>
      </c>
      <c r="AE148" s="33">
        <f t="shared" si="12"/>
        <v>0</v>
      </c>
      <c r="AF148" s="34">
        <v>0</v>
      </c>
      <c r="AG148" s="33">
        <f t="shared" si="15"/>
        <v>0</v>
      </c>
      <c r="AH148" s="34">
        <v>0</v>
      </c>
      <c r="AI148" s="33">
        <f t="shared" si="16"/>
        <v>0</v>
      </c>
      <c r="AJ148" s="34" t="s">
        <v>49</v>
      </c>
      <c r="AK148" s="34">
        <v>0</v>
      </c>
      <c r="AL148" s="33">
        <f t="shared" si="17"/>
        <v>0</v>
      </c>
      <c r="AM148" s="35"/>
      <c r="AN148" s="34" t="s">
        <v>49</v>
      </c>
      <c r="AO148" s="34" t="s">
        <v>49</v>
      </c>
      <c r="AP148" s="34" t="s">
        <v>49</v>
      </c>
      <c r="AQ148" s="34" t="s">
        <v>49</v>
      </c>
      <c r="AR148" s="34" t="s">
        <v>49</v>
      </c>
      <c r="AS148" s="27" t="s">
        <v>183</v>
      </c>
      <c r="AT148" s="34" t="s">
        <v>49</v>
      </c>
      <c r="AU148" s="73" t="s">
        <v>358</v>
      </c>
      <c r="AV148" s="68"/>
    </row>
    <row r="149" spans="1:48" ht="56.25" x14ac:dyDescent="0.2">
      <c r="A149" s="23">
        <v>141</v>
      </c>
      <c r="B149" s="23" t="s">
        <v>52</v>
      </c>
      <c r="C149" s="24"/>
      <c r="D149" s="37"/>
      <c r="E149" s="26"/>
      <c r="F149" s="64" t="s">
        <v>240</v>
      </c>
      <c r="G149" s="57" t="s">
        <v>309</v>
      </c>
      <c r="H149" s="12"/>
      <c r="I149" s="12"/>
      <c r="J149" s="43">
        <v>3</v>
      </c>
      <c r="K149" s="27" t="s">
        <v>341</v>
      </c>
      <c r="L149" s="27"/>
      <c r="M149" s="27"/>
      <c r="N149" s="27"/>
      <c r="O149" s="27"/>
      <c r="P149" s="51">
        <v>5400000</v>
      </c>
      <c r="Q149" s="28">
        <f t="shared" si="13"/>
        <v>16200000</v>
      </c>
      <c r="R149" s="29" t="s">
        <v>50</v>
      </c>
      <c r="S149" s="28">
        <f t="shared" si="14"/>
        <v>-16200000</v>
      </c>
      <c r="T149" s="27" t="s">
        <v>49</v>
      </c>
      <c r="U149" s="27" t="s">
        <v>49</v>
      </c>
      <c r="V149" s="27" t="s">
        <v>49</v>
      </c>
      <c r="W149" s="27" t="s">
        <v>49</v>
      </c>
      <c r="X149" s="27" t="s">
        <v>49</v>
      </c>
      <c r="Y149" s="31" t="s">
        <v>49</v>
      </c>
      <c r="Z149" s="31"/>
      <c r="AA149" s="31" t="s">
        <v>49</v>
      </c>
      <c r="AB149" s="31"/>
      <c r="AC149" s="31" t="s">
        <v>49</v>
      </c>
      <c r="AD149" s="32">
        <v>0</v>
      </c>
      <c r="AE149" s="33">
        <f t="shared" si="12"/>
        <v>0</v>
      </c>
      <c r="AF149" s="34">
        <v>0</v>
      </c>
      <c r="AG149" s="33">
        <f t="shared" si="15"/>
        <v>0</v>
      </c>
      <c r="AH149" s="34">
        <v>0</v>
      </c>
      <c r="AI149" s="33">
        <f t="shared" si="16"/>
        <v>0</v>
      </c>
      <c r="AJ149" s="34" t="s">
        <v>49</v>
      </c>
      <c r="AK149" s="34">
        <v>0</v>
      </c>
      <c r="AL149" s="33">
        <f t="shared" si="17"/>
        <v>0</v>
      </c>
      <c r="AM149" s="35"/>
      <c r="AN149" s="34" t="s">
        <v>49</v>
      </c>
      <c r="AO149" s="34" t="s">
        <v>49</v>
      </c>
      <c r="AP149" s="34" t="s">
        <v>49</v>
      </c>
      <c r="AQ149" s="34" t="s">
        <v>49</v>
      </c>
      <c r="AR149" s="34" t="s">
        <v>49</v>
      </c>
      <c r="AS149" s="27" t="s">
        <v>183</v>
      </c>
      <c r="AT149" s="34" t="s">
        <v>49</v>
      </c>
      <c r="AU149" s="73" t="s">
        <v>358</v>
      </c>
      <c r="AV149" s="68" t="s">
        <v>374</v>
      </c>
    </row>
    <row r="150" spans="1:48" ht="56.25" x14ac:dyDescent="0.2">
      <c r="A150" s="23">
        <v>142</v>
      </c>
      <c r="B150" s="23" t="s">
        <v>52</v>
      </c>
      <c r="C150" s="24"/>
      <c r="D150" s="37"/>
      <c r="E150" s="26"/>
      <c r="F150" s="64" t="s">
        <v>241</v>
      </c>
      <c r="G150" s="100" t="s">
        <v>310</v>
      </c>
      <c r="H150" s="12"/>
      <c r="I150" s="12"/>
      <c r="J150" s="43">
        <v>1</v>
      </c>
      <c r="K150" s="27" t="s">
        <v>341</v>
      </c>
      <c r="L150" s="27"/>
      <c r="M150" s="27"/>
      <c r="N150" s="27"/>
      <c r="O150" s="27"/>
      <c r="P150" s="51">
        <v>9450000</v>
      </c>
      <c r="Q150" s="28">
        <f t="shared" si="13"/>
        <v>9450000</v>
      </c>
      <c r="R150" s="29" t="s">
        <v>50</v>
      </c>
      <c r="S150" s="28">
        <f t="shared" si="14"/>
        <v>-9450000</v>
      </c>
      <c r="T150" s="27" t="s">
        <v>49</v>
      </c>
      <c r="U150" s="27" t="s">
        <v>49</v>
      </c>
      <c r="V150" s="27" t="s">
        <v>49</v>
      </c>
      <c r="W150" s="27" t="s">
        <v>49</v>
      </c>
      <c r="X150" s="27" t="s">
        <v>49</v>
      </c>
      <c r="Y150" s="31" t="s">
        <v>49</v>
      </c>
      <c r="Z150" s="31"/>
      <c r="AA150" s="31" t="s">
        <v>49</v>
      </c>
      <c r="AB150" s="31"/>
      <c r="AC150" s="31" t="s">
        <v>49</v>
      </c>
      <c r="AD150" s="32">
        <v>0</v>
      </c>
      <c r="AE150" s="33">
        <f t="shared" si="12"/>
        <v>0</v>
      </c>
      <c r="AF150" s="34">
        <v>0</v>
      </c>
      <c r="AG150" s="33">
        <f t="shared" si="15"/>
        <v>0</v>
      </c>
      <c r="AH150" s="34">
        <v>0</v>
      </c>
      <c r="AI150" s="33">
        <f t="shared" si="16"/>
        <v>0</v>
      </c>
      <c r="AJ150" s="34" t="s">
        <v>49</v>
      </c>
      <c r="AK150" s="34">
        <v>0</v>
      </c>
      <c r="AL150" s="33">
        <f t="shared" si="17"/>
        <v>0</v>
      </c>
      <c r="AM150" s="35"/>
      <c r="AN150" s="34" t="s">
        <v>49</v>
      </c>
      <c r="AO150" s="34" t="s">
        <v>49</v>
      </c>
      <c r="AP150" s="34" t="s">
        <v>49</v>
      </c>
      <c r="AQ150" s="34" t="s">
        <v>49</v>
      </c>
      <c r="AR150" s="34" t="s">
        <v>49</v>
      </c>
      <c r="AS150" s="27" t="s">
        <v>183</v>
      </c>
      <c r="AT150" s="34" t="s">
        <v>49</v>
      </c>
      <c r="AU150" s="73" t="s">
        <v>356</v>
      </c>
      <c r="AV150" s="68"/>
    </row>
    <row r="151" spans="1:48" ht="56.25" x14ac:dyDescent="0.2">
      <c r="A151" s="23">
        <v>143</v>
      </c>
      <c r="B151" s="23" t="s">
        <v>52</v>
      </c>
      <c r="C151" s="24"/>
      <c r="D151" s="37"/>
      <c r="E151" s="26"/>
      <c r="F151" s="64" t="s">
        <v>242</v>
      </c>
      <c r="G151" s="57" t="s">
        <v>311</v>
      </c>
      <c r="H151" s="12"/>
      <c r="I151" s="12"/>
      <c r="J151" s="43">
        <v>1</v>
      </c>
      <c r="K151" s="27" t="s">
        <v>341</v>
      </c>
      <c r="L151" s="27"/>
      <c r="M151" s="27"/>
      <c r="N151" s="27"/>
      <c r="O151" s="27"/>
      <c r="P151" s="51">
        <v>8334000</v>
      </c>
      <c r="Q151" s="28">
        <f t="shared" si="13"/>
        <v>8334000</v>
      </c>
      <c r="R151" s="29" t="s">
        <v>50</v>
      </c>
      <c r="S151" s="28">
        <f t="shared" si="14"/>
        <v>-8334000</v>
      </c>
      <c r="T151" s="27" t="s">
        <v>49</v>
      </c>
      <c r="U151" s="27" t="s">
        <v>49</v>
      </c>
      <c r="V151" s="27" t="s">
        <v>49</v>
      </c>
      <c r="W151" s="27" t="s">
        <v>49</v>
      </c>
      <c r="X151" s="27" t="s">
        <v>49</v>
      </c>
      <c r="Y151" s="31" t="s">
        <v>49</v>
      </c>
      <c r="Z151" s="31"/>
      <c r="AA151" s="31" t="s">
        <v>49</v>
      </c>
      <c r="AB151" s="31"/>
      <c r="AC151" s="31" t="s">
        <v>49</v>
      </c>
      <c r="AD151" s="32">
        <v>0</v>
      </c>
      <c r="AE151" s="33">
        <f t="shared" si="12"/>
        <v>0</v>
      </c>
      <c r="AF151" s="34">
        <v>0</v>
      </c>
      <c r="AG151" s="33">
        <f t="shared" si="15"/>
        <v>0</v>
      </c>
      <c r="AH151" s="34">
        <v>0</v>
      </c>
      <c r="AI151" s="33">
        <f t="shared" si="16"/>
        <v>0</v>
      </c>
      <c r="AJ151" s="34" t="s">
        <v>49</v>
      </c>
      <c r="AK151" s="34">
        <v>0</v>
      </c>
      <c r="AL151" s="33">
        <f t="shared" si="17"/>
        <v>0</v>
      </c>
      <c r="AM151" s="35"/>
      <c r="AN151" s="34" t="s">
        <v>49</v>
      </c>
      <c r="AO151" s="34" t="s">
        <v>49</v>
      </c>
      <c r="AP151" s="34" t="s">
        <v>49</v>
      </c>
      <c r="AQ151" s="34" t="s">
        <v>49</v>
      </c>
      <c r="AR151" s="34" t="s">
        <v>49</v>
      </c>
      <c r="AS151" s="27" t="s">
        <v>183</v>
      </c>
      <c r="AT151" s="34" t="s">
        <v>49</v>
      </c>
      <c r="AU151" s="73" t="s">
        <v>356</v>
      </c>
      <c r="AV151" s="68"/>
    </row>
    <row r="152" spans="1:48" x14ac:dyDescent="0.2">
      <c r="A152" s="23">
        <v>144</v>
      </c>
      <c r="B152" s="23" t="s">
        <v>52</v>
      </c>
      <c r="C152" s="24"/>
      <c r="D152" s="37"/>
      <c r="E152" s="26"/>
      <c r="F152" s="64" t="s">
        <v>243</v>
      </c>
      <c r="G152" s="57" t="s">
        <v>312</v>
      </c>
      <c r="H152" s="12"/>
      <c r="I152" s="12"/>
      <c r="J152" s="43">
        <v>1</v>
      </c>
      <c r="K152" s="27" t="s">
        <v>341</v>
      </c>
      <c r="L152" s="27"/>
      <c r="M152" s="27"/>
      <c r="N152" s="27"/>
      <c r="O152" s="27"/>
      <c r="P152" s="51">
        <v>337500</v>
      </c>
      <c r="Q152" s="28">
        <f t="shared" si="13"/>
        <v>337500</v>
      </c>
      <c r="R152" s="29" t="s">
        <v>50</v>
      </c>
      <c r="S152" s="28">
        <f t="shared" si="14"/>
        <v>-337500</v>
      </c>
      <c r="T152" s="27" t="s">
        <v>49</v>
      </c>
      <c r="U152" s="27" t="s">
        <v>49</v>
      </c>
      <c r="V152" s="27" t="s">
        <v>49</v>
      </c>
      <c r="W152" s="27" t="s">
        <v>49</v>
      </c>
      <c r="X152" s="27" t="s">
        <v>49</v>
      </c>
      <c r="Y152" s="31" t="s">
        <v>49</v>
      </c>
      <c r="Z152" s="31"/>
      <c r="AA152" s="31" t="s">
        <v>49</v>
      </c>
      <c r="AB152" s="31"/>
      <c r="AC152" s="31" t="s">
        <v>49</v>
      </c>
      <c r="AD152" s="32">
        <v>0</v>
      </c>
      <c r="AE152" s="33">
        <f t="shared" si="12"/>
        <v>0</v>
      </c>
      <c r="AF152" s="34">
        <v>0</v>
      </c>
      <c r="AG152" s="33">
        <f t="shared" si="15"/>
        <v>0</v>
      </c>
      <c r="AH152" s="34">
        <v>0</v>
      </c>
      <c r="AI152" s="33">
        <f t="shared" si="16"/>
        <v>0</v>
      </c>
      <c r="AJ152" s="34" t="s">
        <v>49</v>
      </c>
      <c r="AK152" s="34">
        <v>0</v>
      </c>
      <c r="AL152" s="33">
        <f t="shared" si="17"/>
        <v>0</v>
      </c>
      <c r="AM152" s="35"/>
      <c r="AN152" s="34" t="s">
        <v>49</v>
      </c>
      <c r="AO152" s="34" t="s">
        <v>49</v>
      </c>
      <c r="AP152" s="34" t="s">
        <v>49</v>
      </c>
      <c r="AQ152" s="34" t="s">
        <v>49</v>
      </c>
      <c r="AR152" s="34" t="s">
        <v>49</v>
      </c>
      <c r="AS152" s="27" t="s">
        <v>183</v>
      </c>
      <c r="AT152" s="34" t="s">
        <v>49</v>
      </c>
      <c r="AU152" s="73" t="s">
        <v>366</v>
      </c>
      <c r="AV152" s="68"/>
    </row>
    <row r="153" spans="1:48" ht="56.25" x14ac:dyDescent="0.2">
      <c r="A153" s="23">
        <v>145</v>
      </c>
      <c r="B153" s="23" t="s">
        <v>52</v>
      </c>
      <c r="C153" s="24"/>
      <c r="D153" s="37"/>
      <c r="E153" s="26"/>
      <c r="F153" s="64" t="s">
        <v>244</v>
      </c>
      <c r="G153" s="100" t="s">
        <v>313</v>
      </c>
      <c r="H153" s="12"/>
      <c r="I153" s="12"/>
      <c r="J153" s="43">
        <v>1</v>
      </c>
      <c r="K153" s="27" t="s">
        <v>341</v>
      </c>
      <c r="L153" s="27"/>
      <c r="M153" s="27"/>
      <c r="N153" s="27"/>
      <c r="O153" s="27"/>
      <c r="P153" s="51">
        <v>41500000</v>
      </c>
      <c r="Q153" s="28">
        <f t="shared" si="13"/>
        <v>41500000</v>
      </c>
      <c r="R153" s="29" t="s">
        <v>50</v>
      </c>
      <c r="S153" s="28">
        <f t="shared" si="14"/>
        <v>-41500000</v>
      </c>
      <c r="T153" s="27" t="s">
        <v>49</v>
      </c>
      <c r="U153" s="27" t="s">
        <v>49</v>
      </c>
      <c r="V153" s="27" t="s">
        <v>49</v>
      </c>
      <c r="W153" s="27" t="s">
        <v>49</v>
      </c>
      <c r="X153" s="27" t="s">
        <v>49</v>
      </c>
      <c r="Y153" s="31" t="s">
        <v>49</v>
      </c>
      <c r="Z153" s="31"/>
      <c r="AA153" s="31" t="s">
        <v>49</v>
      </c>
      <c r="AB153" s="31"/>
      <c r="AC153" s="31" t="s">
        <v>49</v>
      </c>
      <c r="AD153" s="32">
        <v>0</v>
      </c>
      <c r="AE153" s="33">
        <f t="shared" si="12"/>
        <v>0</v>
      </c>
      <c r="AF153" s="34">
        <v>0</v>
      </c>
      <c r="AG153" s="33">
        <f t="shared" si="15"/>
        <v>0</v>
      </c>
      <c r="AH153" s="34">
        <v>0</v>
      </c>
      <c r="AI153" s="33">
        <f t="shared" si="16"/>
        <v>0</v>
      </c>
      <c r="AJ153" s="34" t="s">
        <v>49</v>
      </c>
      <c r="AK153" s="34">
        <v>0</v>
      </c>
      <c r="AL153" s="33">
        <f t="shared" si="17"/>
        <v>0</v>
      </c>
      <c r="AM153" s="35"/>
      <c r="AN153" s="34" t="s">
        <v>49</v>
      </c>
      <c r="AO153" s="34" t="s">
        <v>49</v>
      </c>
      <c r="AP153" s="34" t="s">
        <v>49</v>
      </c>
      <c r="AQ153" s="34" t="s">
        <v>49</v>
      </c>
      <c r="AR153" s="34" t="s">
        <v>49</v>
      </c>
      <c r="AS153" s="27" t="s">
        <v>183</v>
      </c>
      <c r="AT153" s="34" t="s">
        <v>49</v>
      </c>
      <c r="AU153" s="73" t="s">
        <v>356</v>
      </c>
      <c r="AV153" s="68"/>
    </row>
    <row r="154" spans="1:48" ht="75" x14ac:dyDescent="0.2">
      <c r="A154" s="23">
        <v>146</v>
      </c>
      <c r="B154" s="23" t="s">
        <v>52</v>
      </c>
      <c r="C154" s="24"/>
      <c r="D154" s="37"/>
      <c r="E154" s="26"/>
      <c r="F154" s="64" t="s">
        <v>245</v>
      </c>
      <c r="G154" s="100" t="s">
        <v>314</v>
      </c>
      <c r="H154" s="12"/>
      <c r="I154" s="12"/>
      <c r="J154" s="43">
        <v>1</v>
      </c>
      <c r="K154" s="27" t="s">
        <v>341</v>
      </c>
      <c r="L154" s="27"/>
      <c r="M154" s="27"/>
      <c r="N154" s="27"/>
      <c r="O154" s="27"/>
      <c r="P154" s="51">
        <v>9450000</v>
      </c>
      <c r="Q154" s="28">
        <f t="shared" si="13"/>
        <v>9450000</v>
      </c>
      <c r="R154" s="29" t="s">
        <v>50</v>
      </c>
      <c r="S154" s="28">
        <f t="shared" si="14"/>
        <v>-9450000</v>
      </c>
      <c r="T154" s="27" t="s">
        <v>49</v>
      </c>
      <c r="U154" s="27" t="s">
        <v>49</v>
      </c>
      <c r="V154" s="27" t="s">
        <v>49</v>
      </c>
      <c r="W154" s="27" t="s">
        <v>49</v>
      </c>
      <c r="X154" s="27" t="s">
        <v>49</v>
      </c>
      <c r="Y154" s="31" t="s">
        <v>49</v>
      </c>
      <c r="Z154" s="31"/>
      <c r="AA154" s="31" t="s">
        <v>49</v>
      </c>
      <c r="AB154" s="31"/>
      <c r="AC154" s="31" t="s">
        <v>49</v>
      </c>
      <c r="AD154" s="32">
        <v>0</v>
      </c>
      <c r="AE154" s="33">
        <f t="shared" si="12"/>
        <v>0</v>
      </c>
      <c r="AF154" s="34">
        <v>0</v>
      </c>
      <c r="AG154" s="33">
        <f t="shared" si="15"/>
        <v>0</v>
      </c>
      <c r="AH154" s="34">
        <v>0</v>
      </c>
      <c r="AI154" s="33">
        <f t="shared" si="16"/>
        <v>0</v>
      </c>
      <c r="AJ154" s="34" t="s">
        <v>49</v>
      </c>
      <c r="AK154" s="34">
        <v>0</v>
      </c>
      <c r="AL154" s="33">
        <f t="shared" si="17"/>
        <v>0</v>
      </c>
      <c r="AM154" s="35"/>
      <c r="AN154" s="34" t="s">
        <v>49</v>
      </c>
      <c r="AO154" s="34" t="s">
        <v>49</v>
      </c>
      <c r="AP154" s="34" t="s">
        <v>49</v>
      </c>
      <c r="AQ154" s="34" t="s">
        <v>49</v>
      </c>
      <c r="AR154" s="34" t="s">
        <v>49</v>
      </c>
      <c r="AS154" s="27" t="s">
        <v>183</v>
      </c>
      <c r="AT154" s="34" t="s">
        <v>49</v>
      </c>
      <c r="AU154" s="73" t="s">
        <v>356</v>
      </c>
      <c r="AV154" s="68"/>
    </row>
    <row r="155" spans="1:48" ht="75" x14ac:dyDescent="0.2">
      <c r="A155" s="23">
        <v>147</v>
      </c>
      <c r="B155" s="23" t="s">
        <v>52</v>
      </c>
      <c r="C155" s="24"/>
      <c r="D155" s="37"/>
      <c r="E155" s="26"/>
      <c r="F155" s="64" t="s">
        <v>246</v>
      </c>
      <c r="G155" s="57" t="s">
        <v>315</v>
      </c>
      <c r="H155" s="12"/>
      <c r="I155" s="12"/>
      <c r="J155" s="43">
        <v>1</v>
      </c>
      <c r="K155" s="27" t="s">
        <v>341</v>
      </c>
      <c r="L155" s="27"/>
      <c r="M155" s="27"/>
      <c r="N155" s="27"/>
      <c r="O155" s="27"/>
      <c r="P155" s="51">
        <v>10350000</v>
      </c>
      <c r="Q155" s="28">
        <f t="shared" si="13"/>
        <v>10350000</v>
      </c>
      <c r="R155" s="29" t="s">
        <v>50</v>
      </c>
      <c r="S155" s="28">
        <f t="shared" si="14"/>
        <v>-10350000</v>
      </c>
      <c r="T155" s="27" t="s">
        <v>49</v>
      </c>
      <c r="U155" s="27" t="s">
        <v>49</v>
      </c>
      <c r="V155" s="27" t="s">
        <v>49</v>
      </c>
      <c r="W155" s="27" t="s">
        <v>49</v>
      </c>
      <c r="X155" s="27" t="s">
        <v>49</v>
      </c>
      <c r="Y155" s="31" t="s">
        <v>49</v>
      </c>
      <c r="Z155" s="31"/>
      <c r="AA155" s="31" t="s">
        <v>49</v>
      </c>
      <c r="AB155" s="31"/>
      <c r="AC155" s="31" t="s">
        <v>49</v>
      </c>
      <c r="AD155" s="32">
        <v>0</v>
      </c>
      <c r="AE155" s="33">
        <f t="shared" si="12"/>
        <v>0</v>
      </c>
      <c r="AF155" s="34">
        <v>0</v>
      </c>
      <c r="AG155" s="33">
        <f t="shared" si="15"/>
        <v>0</v>
      </c>
      <c r="AH155" s="34">
        <v>0</v>
      </c>
      <c r="AI155" s="33">
        <f t="shared" si="16"/>
        <v>0</v>
      </c>
      <c r="AJ155" s="34" t="s">
        <v>49</v>
      </c>
      <c r="AK155" s="34">
        <v>0</v>
      </c>
      <c r="AL155" s="33">
        <f t="shared" si="17"/>
        <v>0</v>
      </c>
      <c r="AM155" s="35"/>
      <c r="AN155" s="34" t="s">
        <v>49</v>
      </c>
      <c r="AO155" s="34" t="s">
        <v>49</v>
      </c>
      <c r="AP155" s="34" t="s">
        <v>49</v>
      </c>
      <c r="AQ155" s="34" t="s">
        <v>49</v>
      </c>
      <c r="AR155" s="34" t="s">
        <v>49</v>
      </c>
      <c r="AS155" s="27" t="s">
        <v>183</v>
      </c>
      <c r="AT155" s="34" t="s">
        <v>49</v>
      </c>
      <c r="AU155" s="73" t="s">
        <v>366</v>
      </c>
      <c r="AV155" s="68"/>
    </row>
    <row r="156" spans="1:48" ht="75" x14ac:dyDescent="0.2">
      <c r="A156" s="23">
        <v>148</v>
      </c>
      <c r="B156" s="23" t="s">
        <v>52</v>
      </c>
      <c r="C156" s="24"/>
      <c r="D156" s="37"/>
      <c r="E156" s="26"/>
      <c r="F156" s="64" t="s">
        <v>246</v>
      </c>
      <c r="G156" s="57" t="s">
        <v>315</v>
      </c>
      <c r="H156" s="12"/>
      <c r="I156" s="12"/>
      <c r="J156" s="43">
        <v>1</v>
      </c>
      <c r="K156" s="27" t="s">
        <v>341</v>
      </c>
      <c r="L156" s="27"/>
      <c r="M156" s="27"/>
      <c r="N156" s="27"/>
      <c r="O156" s="27"/>
      <c r="P156" s="51">
        <v>10350000</v>
      </c>
      <c r="Q156" s="28">
        <f t="shared" si="13"/>
        <v>10350000</v>
      </c>
      <c r="R156" s="29" t="s">
        <v>50</v>
      </c>
      <c r="S156" s="28">
        <f t="shared" si="14"/>
        <v>-10350000</v>
      </c>
      <c r="T156" s="27" t="s">
        <v>49</v>
      </c>
      <c r="U156" s="27" t="s">
        <v>49</v>
      </c>
      <c r="V156" s="27" t="s">
        <v>49</v>
      </c>
      <c r="W156" s="27" t="s">
        <v>49</v>
      </c>
      <c r="X156" s="27" t="s">
        <v>49</v>
      </c>
      <c r="Y156" s="31" t="s">
        <v>49</v>
      </c>
      <c r="Z156" s="31"/>
      <c r="AA156" s="31" t="s">
        <v>49</v>
      </c>
      <c r="AB156" s="31"/>
      <c r="AC156" s="31" t="s">
        <v>49</v>
      </c>
      <c r="AD156" s="32">
        <v>0</v>
      </c>
      <c r="AE156" s="33">
        <f t="shared" si="12"/>
        <v>0</v>
      </c>
      <c r="AF156" s="34">
        <v>0</v>
      </c>
      <c r="AG156" s="33">
        <f t="shared" si="15"/>
        <v>0</v>
      </c>
      <c r="AH156" s="34">
        <v>0</v>
      </c>
      <c r="AI156" s="33">
        <f t="shared" si="16"/>
        <v>0</v>
      </c>
      <c r="AJ156" s="34" t="s">
        <v>49</v>
      </c>
      <c r="AK156" s="34">
        <v>0</v>
      </c>
      <c r="AL156" s="33">
        <f t="shared" si="17"/>
        <v>0</v>
      </c>
      <c r="AM156" s="35"/>
      <c r="AN156" s="34" t="s">
        <v>49</v>
      </c>
      <c r="AO156" s="34" t="s">
        <v>49</v>
      </c>
      <c r="AP156" s="34" t="s">
        <v>49</v>
      </c>
      <c r="AQ156" s="34" t="s">
        <v>49</v>
      </c>
      <c r="AR156" s="34" t="s">
        <v>49</v>
      </c>
      <c r="AS156" s="27" t="s">
        <v>183</v>
      </c>
      <c r="AT156" s="34" t="s">
        <v>49</v>
      </c>
      <c r="AU156" s="73" t="s">
        <v>366</v>
      </c>
      <c r="AV156" s="68"/>
    </row>
    <row r="157" spans="1:48" ht="56.25" x14ac:dyDescent="0.2">
      <c r="A157" s="23">
        <v>149</v>
      </c>
      <c r="B157" s="23" t="s">
        <v>52</v>
      </c>
      <c r="C157" s="24"/>
      <c r="D157" s="37"/>
      <c r="E157" s="26"/>
      <c r="F157" s="64" t="s">
        <v>247</v>
      </c>
      <c r="G157" s="57" t="s">
        <v>316</v>
      </c>
      <c r="H157" s="12"/>
      <c r="I157" s="12"/>
      <c r="J157" s="43">
        <v>1</v>
      </c>
      <c r="K157" s="27" t="s">
        <v>341</v>
      </c>
      <c r="L157" s="27"/>
      <c r="M157" s="27"/>
      <c r="N157" s="27"/>
      <c r="O157" s="27"/>
      <c r="P157" s="51">
        <v>25200000</v>
      </c>
      <c r="Q157" s="28">
        <f t="shared" si="13"/>
        <v>25200000</v>
      </c>
      <c r="R157" s="29" t="s">
        <v>50</v>
      </c>
      <c r="S157" s="28">
        <f t="shared" si="14"/>
        <v>-25200000</v>
      </c>
      <c r="T157" s="27" t="s">
        <v>49</v>
      </c>
      <c r="U157" s="27" t="s">
        <v>49</v>
      </c>
      <c r="V157" s="27" t="s">
        <v>49</v>
      </c>
      <c r="W157" s="27" t="s">
        <v>49</v>
      </c>
      <c r="X157" s="27" t="s">
        <v>49</v>
      </c>
      <c r="Y157" s="31" t="s">
        <v>49</v>
      </c>
      <c r="Z157" s="31"/>
      <c r="AA157" s="31" t="s">
        <v>49</v>
      </c>
      <c r="AB157" s="31"/>
      <c r="AC157" s="31" t="s">
        <v>49</v>
      </c>
      <c r="AD157" s="32">
        <v>0</v>
      </c>
      <c r="AE157" s="33">
        <f t="shared" si="12"/>
        <v>0</v>
      </c>
      <c r="AF157" s="34">
        <v>0</v>
      </c>
      <c r="AG157" s="33">
        <f t="shared" si="15"/>
        <v>0</v>
      </c>
      <c r="AH157" s="34">
        <v>0</v>
      </c>
      <c r="AI157" s="33">
        <f t="shared" si="16"/>
        <v>0</v>
      </c>
      <c r="AJ157" s="34" t="s">
        <v>49</v>
      </c>
      <c r="AK157" s="34">
        <v>0</v>
      </c>
      <c r="AL157" s="33">
        <f t="shared" si="17"/>
        <v>0</v>
      </c>
      <c r="AM157" s="35"/>
      <c r="AN157" s="34" t="s">
        <v>49</v>
      </c>
      <c r="AO157" s="34" t="s">
        <v>49</v>
      </c>
      <c r="AP157" s="34" t="s">
        <v>49</v>
      </c>
      <c r="AQ157" s="34" t="s">
        <v>49</v>
      </c>
      <c r="AR157" s="34" t="s">
        <v>49</v>
      </c>
      <c r="AS157" s="27" t="s">
        <v>183</v>
      </c>
      <c r="AT157" s="34" t="s">
        <v>49</v>
      </c>
      <c r="AU157" s="73" t="s">
        <v>366</v>
      </c>
      <c r="AV157" s="68"/>
    </row>
    <row r="158" spans="1:48" ht="56.25" x14ac:dyDescent="0.2">
      <c r="A158" s="23">
        <v>150</v>
      </c>
      <c r="B158" s="23" t="s">
        <v>52</v>
      </c>
      <c r="C158" s="24"/>
      <c r="D158" s="37"/>
      <c r="E158" s="26"/>
      <c r="F158" s="64" t="s">
        <v>248</v>
      </c>
      <c r="G158" s="57" t="s">
        <v>317</v>
      </c>
      <c r="H158" s="12"/>
      <c r="I158" s="12"/>
      <c r="J158" s="43">
        <v>1</v>
      </c>
      <c r="K158" s="27" t="s">
        <v>341</v>
      </c>
      <c r="L158" s="27"/>
      <c r="M158" s="27"/>
      <c r="N158" s="27"/>
      <c r="O158" s="27"/>
      <c r="P158" s="51">
        <v>2452500</v>
      </c>
      <c r="Q158" s="28">
        <f t="shared" si="13"/>
        <v>2452500</v>
      </c>
      <c r="R158" s="29" t="s">
        <v>50</v>
      </c>
      <c r="S158" s="28">
        <f t="shared" si="14"/>
        <v>-2452500</v>
      </c>
      <c r="T158" s="27" t="s">
        <v>49</v>
      </c>
      <c r="U158" s="27" t="s">
        <v>49</v>
      </c>
      <c r="V158" s="27" t="s">
        <v>49</v>
      </c>
      <c r="W158" s="27" t="s">
        <v>49</v>
      </c>
      <c r="X158" s="27" t="s">
        <v>49</v>
      </c>
      <c r="Y158" s="31" t="s">
        <v>49</v>
      </c>
      <c r="Z158" s="31"/>
      <c r="AA158" s="31" t="s">
        <v>49</v>
      </c>
      <c r="AB158" s="31"/>
      <c r="AC158" s="31" t="s">
        <v>49</v>
      </c>
      <c r="AD158" s="32">
        <v>0</v>
      </c>
      <c r="AE158" s="33">
        <f t="shared" si="12"/>
        <v>0</v>
      </c>
      <c r="AF158" s="34">
        <v>0</v>
      </c>
      <c r="AG158" s="33">
        <f t="shared" si="15"/>
        <v>0</v>
      </c>
      <c r="AH158" s="34">
        <v>0</v>
      </c>
      <c r="AI158" s="33">
        <f t="shared" si="16"/>
        <v>0</v>
      </c>
      <c r="AJ158" s="34" t="s">
        <v>49</v>
      </c>
      <c r="AK158" s="34">
        <v>0</v>
      </c>
      <c r="AL158" s="33">
        <f t="shared" si="17"/>
        <v>0</v>
      </c>
      <c r="AM158" s="35"/>
      <c r="AN158" s="34" t="s">
        <v>49</v>
      </c>
      <c r="AO158" s="34" t="s">
        <v>49</v>
      </c>
      <c r="AP158" s="34" t="s">
        <v>49</v>
      </c>
      <c r="AQ158" s="34" t="s">
        <v>49</v>
      </c>
      <c r="AR158" s="34" t="s">
        <v>49</v>
      </c>
      <c r="AS158" s="27" t="s">
        <v>183</v>
      </c>
      <c r="AT158" s="34" t="s">
        <v>49</v>
      </c>
      <c r="AU158" s="73" t="s">
        <v>364</v>
      </c>
      <c r="AV158" s="68"/>
    </row>
    <row r="159" spans="1:48" ht="37.5" x14ac:dyDescent="0.2">
      <c r="A159" s="23">
        <v>151</v>
      </c>
      <c r="B159" s="23" t="s">
        <v>52</v>
      </c>
      <c r="C159" s="24"/>
      <c r="D159" s="37"/>
      <c r="E159" s="26"/>
      <c r="F159" s="64" t="s">
        <v>249</v>
      </c>
      <c r="G159" s="57" t="s">
        <v>318</v>
      </c>
      <c r="H159" s="12"/>
      <c r="I159" s="12"/>
      <c r="J159" s="43">
        <v>1</v>
      </c>
      <c r="K159" s="27" t="s">
        <v>341</v>
      </c>
      <c r="L159" s="27"/>
      <c r="M159" s="27"/>
      <c r="N159" s="27"/>
      <c r="O159" s="27"/>
      <c r="P159" s="51">
        <v>7650000</v>
      </c>
      <c r="Q159" s="28">
        <f t="shared" si="13"/>
        <v>7650000</v>
      </c>
      <c r="R159" s="29" t="s">
        <v>50</v>
      </c>
      <c r="S159" s="28">
        <f t="shared" si="14"/>
        <v>-7650000</v>
      </c>
      <c r="T159" s="27" t="s">
        <v>49</v>
      </c>
      <c r="U159" s="27" t="s">
        <v>49</v>
      </c>
      <c r="V159" s="27" t="s">
        <v>49</v>
      </c>
      <c r="W159" s="27" t="s">
        <v>49</v>
      </c>
      <c r="X159" s="27" t="s">
        <v>49</v>
      </c>
      <c r="Y159" s="31" t="s">
        <v>49</v>
      </c>
      <c r="Z159" s="31"/>
      <c r="AA159" s="31" t="s">
        <v>49</v>
      </c>
      <c r="AB159" s="31"/>
      <c r="AC159" s="31" t="s">
        <v>49</v>
      </c>
      <c r="AD159" s="32">
        <v>0</v>
      </c>
      <c r="AE159" s="33">
        <f t="shared" si="12"/>
        <v>0</v>
      </c>
      <c r="AF159" s="34">
        <v>0</v>
      </c>
      <c r="AG159" s="33">
        <f t="shared" si="15"/>
        <v>0</v>
      </c>
      <c r="AH159" s="34">
        <v>0</v>
      </c>
      <c r="AI159" s="33">
        <f t="shared" si="16"/>
        <v>0</v>
      </c>
      <c r="AJ159" s="34" t="s">
        <v>49</v>
      </c>
      <c r="AK159" s="34">
        <v>0</v>
      </c>
      <c r="AL159" s="33">
        <f t="shared" si="17"/>
        <v>0</v>
      </c>
      <c r="AM159" s="35"/>
      <c r="AN159" s="34" t="s">
        <v>49</v>
      </c>
      <c r="AO159" s="34" t="s">
        <v>49</v>
      </c>
      <c r="AP159" s="34" t="s">
        <v>49</v>
      </c>
      <c r="AQ159" s="34" t="s">
        <v>49</v>
      </c>
      <c r="AR159" s="34" t="s">
        <v>49</v>
      </c>
      <c r="AS159" s="27" t="s">
        <v>183</v>
      </c>
      <c r="AT159" s="34" t="s">
        <v>49</v>
      </c>
      <c r="AU159" s="73" t="s">
        <v>356</v>
      </c>
      <c r="AV159" s="68"/>
    </row>
    <row r="160" spans="1:48" ht="37.5" x14ac:dyDescent="0.2">
      <c r="A160" s="23">
        <v>152</v>
      </c>
      <c r="B160" s="23" t="s">
        <v>52</v>
      </c>
      <c r="C160" s="24"/>
      <c r="D160" s="37"/>
      <c r="E160" s="26"/>
      <c r="F160" s="64" t="s">
        <v>250</v>
      </c>
      <c r="G160" s="57" t="s">
        <v>319</v>
      </c>
      <c r="H160" s="12"/>
      <c r="I160" s="12"/>
      <c r="J160" s="43">
        <v>1</v>
      </c>
      <c r="K160" s="27" t="s">
        <v>341</v>
      </c>
      <c r="L160" s="27"/>
      <c r="M160" s="27"/>
      <c r="N160" s="27"/>
      <c r="O160" s="27"/>
      <c r="P160" s="51">
        <v>1944000</v>
      </c>
      <c r="Q160" s="28">
        <f t="shared" si="13"/>
        <v>1944000</v>
      </c>
      <c r="R160" s="29" t="s">
        <v>50</v>
      </c>
      <c r="S160" s="28">
        <f t="shared" si="14"/>
        <v>-1944000</v>
      </c>
      <c r="T160" s="27" t="s">
        <v>49</v>
      </c>
      <c r="U160" s="27" t="s">
        <v>49</v>
      </c>
      <c r="V160" s="27" t="s">
        <v>49</v>
      </c>
      <c r="W160" s="27" t="s">
        <v>49</v>
      </c>
      <c r="X160" s="27" t="s">
        <v>49</v>
      </c>
      <c r="Y160" s="31" t="s">
        <v>49</v>
      </c>
      <c r="Z160" s="31"/>
      <c r="AA160" s="31" t="s">
        <v>49</v>
      </c>
      <c r="AB160" s="31"/>
      <c r="AC160" s="31" t="s">
        <v>49</v>
      </c>
      <c r="AD160" s="32">
        <v>0</v>
      </c>
      <c r="AE160" s="33">
        <f t="shared" si="12"/>
        <v>0</v>
      </c>
      <c r="AF160" s="34">
        <v>0</v>
      </c>
      <c r="AG160" s="33">
        <f t="shared" si="15"/>
        <v>0</v>
      </c>
      <c r="AH160" s="34">
        <v>0</v>
      </c>
      <c r="AI160" s="33">
        <f t="shared" si="16"/>
        <v>0</v>
      </c>
      <c r="AJ160" s="34" t="s">
        <v>49</v>
      </c>
      <c r="AK160" s="34">
        <v>0</v>
      </c>
      <c r="AL160" s="33">
        <f t="shared" si="17"/>
        <v>0</v>
      </c>
      <c r="AM160" s="35"/>
      <c r="AN160" s="34" t="s">
        <v>49</v>
      </c>
      <c r="AO160" s="34" t="s">
        <v>49</v>
      </c>
      <c r="AP160" s="34" t="s">
        <v>49</v>
      </c>
      <c r="AQ160" s="34" t="s">
        <v>49</v>
      </c>
      <c r="AR160" s="34" t="s">
        <v>49</v>
      </c>
      <c r="AS160" s="27" t="s">
        <v>183</v>
      </c>
      <c r="AT160" s="34" t="s">
        <v>49</v>
      </c>
      <c r="AU160" s="73" t="s">
        <v>366</v>
      </c>
      <c r="AV160" s="68"/>
    </row>
    <row r="161" spans="1:50" ht="56.25" x14ac:dyDescent="0.2">
      <c r="A161" s="23">
        <v>153</v>
      </c>
      <c r="B161" s="23" t="s">
        <v>52</v>
      </c>
      <c r="C161" s="24"/>
      <c r="D161" s="37"/>
      <c r="E161" s="26"/>
      <c r="F161" s="64" t="s">
        <v>251</v>
      </c>
      <c r="G161" s="57" t="s">
        <v>320</v>
      </c>
      <c r="H161" s="12"/>
      <c r="I161" s="12"/>
      <c r="J161" s="43">
        <v>1</v>
      </c>
      <c r="K161" s="27" t="s">
        <v>341</v>
      </c>
      <c r="L161" s="27"/>
      <c r="M161" s="27"/>
      <c r="N161" s="27"/>
      <c r="O161" s="27"/>
      <c r="P161" s="51">
        <v>4500000</v>
      </c>
      <c r="Q161" s="28">
        <f t="shared" si="13"/>
        <v>4500000</v>
      </c>
      <c r="R161" s="29" t="s">
        <v>50</v>
      </c>
      <c r="S161" s="28">
        <f t="shared" si="14"/>
        <v>-4500000</v>
      </c>
      <c r="T161" s="27" t="s">
        <v>49</v>
      </c>
      <c r="U161" s="27" t="s">
        <v>49</v>
      </c>
      <c r="V161" s="27" t="s">
        <v>49</v>
      </c>
      <c r="W161" s="27" t="s">
        <v>49</v>
      </c>
      <c r="X161" s="27" t="s">
        <v>49</v>
      </c>
      <c r="Y161" s="31" t="s">
        <v>49</v>
      </c>
      <c r="Z161" s="31"/>
      <c r="AA161" s="31" t="s">
        <v>49</v>
      </c>
      <c r="AB161" s="31"/>
      <c r="AC161" s="31" t="s">
        <v>49</v>
      </c>
      <c r="AD161" s="32">
        <v>0</v>
      </c>
      <c r="AE161" s="33">
        <f t="shared" si="12"/>
        <v>0</v>
      </c>
      <c r="AF161" s="34">
        <v>0</v>
      </c>
      <c r="AG161" s="33">
        <f t="shared" si="15"/>
        <v>0</v>
      </c>
      <c r="AH161" s="34">
        <v>0</v>
      </c>
      <c r="AI161" s="33">
        <f t="shared" si="16"/>
        <v>0</v>
      </c>
      <c r="AJ161" s="34" t="s">
        <v>49</v>
      </c>
      <c r="AK161" s="34">
        <v>0</v>
      </c>
      <c r="AL161" s="33">
        <f t="shared" si="17"/>
        <v>0</v>
      </c>
      <c r="AM161" s="35"/>
      <c r="AN161" s="34" t="s">
        <v>49</v>
      </c>
      <c r="AO161" s="34" t="s">
        <v>49</v>
      </c>
      <c r="AP161" s="34" t="s">
        <v>49</v>
      </c>
      <c r="AQ161" s="34" t="s">
        <v>49</v>
      </c>
      <c r="AR161" s="34" t="s">
        <v>49</v>
      </c>
      <c r="AS161" s="27" t="s">
        <v>183</v>
      </c>
      <c r="AT161" s="34" t="s">
        <v>49</v>
      </c>
      <c r="AU161" s="73" t="s">
        <v>366</v>
      </c>
      <c r="AV161" s="68"/>
    </row>
    <row r="162" spans="1:50" ht="37.5" x14ac:dyDescent="0.2">
      <c r="A162" s="23">
        <v>154</v>
      </c>
      <c r="B162" s="23" t="s">
        <v>52</v>
      </c>
      <c r="C162" s="24"/>
      <c r="D162" s="37"/>
      <c r="E162" s="26"/>
      <c r="F162" s="64" t="s">
        <v>252</v>
      </c>
      <c r="G162" s="57" t="s">
        <v>321</v>
      </c>
      <c r="H162" s="12"/>
      <c r="I162" s="12"/>
      <c r="J162" s="43">
        <v>1</v>
      </c>
      <c r="K162" s="27" t="s">
        <v>341</v>
      </c>
      <c r="L162" s="27"/>
      <c r="M162" s="27"/>
      <c r="N162" s="27"/>
      <c r="O162" s="27"/>
      <c r="P162" s="51">
        <v>2150000</v>
      </c>
      <c r="Q162" s="28">
        <f t="shared" si="13"/>
        <v>2150000</v>
      </c>
      <c r="R162" s="29" t="s">
        <v>50</v>
      </c>
      <c r="S162" s="28">
        <f t="shared" si="14"/>
        <v>-2150000</v>
      </c>
      <c r="T162" s="27" t="s">
        <v>49</v>
      </c>
      <c r="U162" s="27" t="s">
        <v>49</v>
      </c>
      <c r="V162" s="27" t="s">
        <v>49</v>
      </c>
      <c r="W162" s="27" t="s">
        <v>49</v>
      </c>
      <c r="X162" s="27" t="s">
        <v>49</v>
      </c>
      <c r="Y162" s="31" t="s">
        <v>49</v>
      </c>
      <c r="Z162" s="31"/>
      <c r="AA162" s="31" t="s">
        <v>49</v>
      </c>
      <c r="AB162" s="31"/>
      <c r="AC162" s="31" t="s">
        <v>49</v>
      </c>
      <c r="AD162" s="32">
        <v>0</v>
      </c>
      <c r="AE162" s="33">
        <f t="shared" si="12"/>
        <v>0</v>
      </c>
      <c r="AF162" s="34">
        <v>0</v>
      </c>
      <c r="AG162" s="33">
        <f t="shared" si="15"/>
        <v>0</v>
      </c>
      <c r="AH162" s="34">
        <v>0</v>
      </c>
      <c r="AI162" s="33">
        <f t="shared" si="16"/>
        <v>0</v>
      </c>
      <c r="AJ162" s="34" t="s">
        <v>49</v>
      </c>
      <c r="AK162" s="34">
        <v>0</v>
      </c>
      <c r="AL162" s="33">
        <f t="shared" si="17"/>
        <v>0</v>
      </c>
      <c r="AM162" s="35"/>
      <c r="AN162" s="34" t="s">
        <v>49</v>
      </c>
      <c r="AO162" s="34" t="s">
        <v>49</v>
      </c>
      <c r="AP162" s="34" t="s">
        <v>49</v>
      </c>
      <c r="AQ162" s="34" t="s">
        <v>49</v>
      </c>
      <c r="AR162" s="34" t="s">
        <v>49</v>
      </c>
      <c r="AS162" s="27" t="s">
        <v>183</v>
      </c>
      <c r="AT162" s="34" t="s">
        <v>49</v>
      </c>
      <c r="AU162" s="73" t="s">
        <v>356</v>
      </c>
      <c r="AV162" s="68"/>
    </row>
    <row r="163" spans="1:50" ht="37.5" x14ac:dyDescent="0.2">
      <c r="A163" s="23">
        <v>155</v>
      </c>
      <c r="B163" s="23" t="s">
        <v>52</v>
      </c>
      <c r="C163" s="24"/>
      <c r="D163" s="37"/>
      <c r="E163" s="26"/>
      <c r="F163" s="64" t="s">
        <v>253</v>
      </c>
      <c r="G163" s="57" t="s">
        <v>322</v>
      </c>
      <c r="H163" s="12"/>
      <c r="I163" s="12"/>
      <c r="J163" s="43">
        <v>2</v>
      </c>
      <c r="K163" s="27" t="s">
        <v>341</v>
      </c>
      <c r="L163" s="27"/>
      <c r="M163" s="27"/>
      <c r="N163" s="27"/>
      <c r="O163" s="27"/>
      <c r="P163" s="51">
        <v>2150000</v>
      </c>
      <c r="Q163" s="28">
        <f t="shared" si="13"/>
        <v>4300000</v>
      </c>
      <c r="R163" s="29" t="s">
        <v>50</v>
      </c>
      <c r="S163" s="28">
        <f t="shared" si="14"/>
        <v>-4300000</v>
      </c>
      <c r="T163" s="27" t="s">
        <v>49</v>
      </c>
      <c r="U163" s="27" t="s">
        <v>49</v>
      </c>
      <c r="V163" s="27" t="s">
        <v>49</v>
      </c>
      <c r="W163" s="27" t="s">
        <v>49</v>
      </c>
      <c r="X163" s="27" t="s">
        <v>49</v>
      </c>
      <c r="Y163" s="31" t="s">
        <v>49</v>
      </c>
      <c r="Z163" s="31"/>
      <c r="AA163" s="31" t="s">
        <v>49</v>
      </c>
      <c r="AB163" s="31"/>
      <c r="AC163" s="31" t="s">
        <v>49</v>
      </c>
      <c r="AD163" s="32">
        <v>0</v>
      </c>
      <c r="AE163" s="33">
        <f t="shared" si="12"/>
        <v>0</v>
      </c>
      <c r="AF163" s="34">
        <v>0</v>
      </c>
      <c r="AG163" s="33">
        <f t="shared" si="15"/>
        <v>0</v>
      </c>
      <c r="AH163" s="34">
        <v>0</v>
      </c>
      <c r="AI163" s="33">
        <f t="shared" si="16"/>
        <v>0</v>
      </c>
      <c r="AJ163" s="34" t="s">
        <v>49</v>
      </c>
      <c r="AK163" s="34">
        <v>0</v>
      </c>
      <c r="AL163" s="33">
        <f t="shared" si="17"/>
        <v>0</v>
      </c>
      <c r="AM163" s="35"/>
      <c r="AN163" s="34" t="s">
        <v>49</v>
      </c>
      <c r="AO163" s="34" t="s">
        <v>49</v>
      </c>
      <c r="AP163" s="34" t="s">
        <v>49</v>
      </c>
      <c r="AQ163" s="34" t="s">
        <v>49</v>
      </c>
      <c r="AR163" s="34" t="s">
        <v>49</v>
      </c>
      <c r="AS163" s="27" t="s">
        <v>183</v>
      </c>
      <c r="AT163" s="34" t="s">
        <v>49</v>
      </c>
      <c r="AU163" s="73" t="s">
        <v>356</v>
      </c>
      <c r="AV163" s="68"/>
    </row>
    <row r="164" spans="1:50" ht="56.25" x14ac:dyDescent="0.2">
      <c r="A164" s="23">
        <v>156</v>
      </c>
      <c r="B164" s="23" t="s">
        <v>52</v>
      </c>
      <c r="C164" s="24"/>
      <c r="D164" s="37"/>
      <c r="E164" s="26"/>
      <c r="F164" s="64" t="s">
        <v>254</v>
      </c>
      <c r="G164" s="57" t="s">
        <v>323</v>
      </c>
      <c r="H164" s="12"/>
      <c r="I164" s="12"/>
      <c r="J164" s="43">
        <v>1</v>
      </c>
      <c r="K164" s="27" t="s">
        <v>341</v>
      </c>
      <c r="L164" s="27"/>
      <c r="M164" s="27"/>
      <c r="N164" s="27"/>
      <c r="O164" s="27"/>
      <c r="P164" s="51">
        <v>2150000</v>
      </c>
      <c r="Q164" s="28">
        <f t="shared" si="13"/>
        <v>2150000</v>
      </c>
      <c r="R164" s="29" t="s">
        <v>50</v>
      </c>
      <c r="S164" s="28">
        <f t="shared" si="14"/>
        <v>-2150000</v>
      </c>
      <c r="T164" s="27" t="s">
        <v>49</v>
      </c>
      <c r="U164" s="27" t="s">
        <v>49</v>
      </c>
      <c r="V164" s="27" t="s">
        <v>49</v>
      </c>
      <c r="W164" s="27" t="s">
        <v>49</v>
      </c>
      <c r="X164" s="27" t="s">
        <v>49</v>
      </c>
      <c r="Y164" s="31" t="s">
        <v>49</v>
      </c>
      <c r="Z164" s="31"/>
      <c r="AA164" s="31" t="s">
        <v>49</v>
      </c>
      <c r="AB164" s="31"/>
      <c r="AC164" s="31" t="s">
        <v>49</v>
      </c>
      <c r="AD164" s="32">
        <v>0</v>
      </c>
      <c r="AE164" s="33">
        <f t="shared" si="12"/>
        <v>0</v>
      </c>
      <c r="AF164" s="34">
        <v>0</v>
      </c>
      <c r="AG164" s="33">
        <f t="shared" si="15"/>
        <v>0</v>
      </c>
      <c r="AH164" s="34">
        <v>0</v>
      </c>
      <c r="AI164" s="33">
        <f t="shared" si="16"/>
        <v>0</v>
      </c>
      <c r="AJ164" s="34" t="s">
        <v>49</v>
      </c>
      <c r="AK164" s="34">
        <v>0</v>
      </c>
      <c r="AL164" s="33">
        <f t="shared" si="17"/>
        <v>0</v>
      </c>
      <c r="AM164" s="35"/>
      <c r="AN164" s="34" t="s">
        <v>49</v>
      </c>
      <c r="AO164" s="34" t="s">
        <v>49</v>
      </c>
      <c r="AP164" s="34" t="s">
        <v>49</v>
      </c>
      <c r="AQ164" s="34" t="s">
        <v>49</v>
      </c>
      <c r="AR164" s="34" t="s">
        <v>49</v>
      </c>
      <c r="AS164" s="27" t="s">
        <v>183</v>
      </c>
      <c r="AT164" s="34" t="s">
        <v>49</v>
      </c>
      <c r="AU164" s="73" t="s">
        <v>351</v>
      </c>
      <c r="AV164" s="68"/>
    </row>
    <row r="165" spans="1:50" ht="56.25" x14ac:dyDescent="0.2">
      <c r="A165" s="23">
        <v>157</v>
      </c>
      <c r="B165" s="23" t="s">
        <v>52</v>
      </c>
      <c r="C165" s="24"/>
      <c r="D165" s="37"/>
      <c r="E165" s="26"/>
      <c r="F165" s="64" t="s">
        <v>254</v>
      </c>
      <c r="G165" s="57" t="s">
        <v>323</v>
      </c>
      <c r="H165" s="12"/>
      <c r="I165" s="12"/>
      <c r="J165" s="43">
        <v>1</v>
      </c>
      <c r="K165" s="27" t="s">
        <v>341</v>
      </c>
      <c r="L165" s="27"/>
      <c r="M165" s="27"/>
      <c r="N165" s="27"/>
      <c r="O165" s="27"/>
      <c r="P165" s="51">
        <v>2150000</v>
      </c>
      <c r="Q165" s="28">
        <f t="shared" si="13"/>
        <v>2150000</v>
      </c>
      <c r="R165" s="29" t="s">
        <v>50</v>
      </c>
      <c r="S165" s="28">
        <f t="shared" si="14"/>
        <v>-2150000</v>
      </c>
      <c r="T165" s="27" t="s">
        <v>49</v>
      </c>
      <c r="U165" s="27" t="s">
        <v>49</v>
      </c>
      <c r="V165" s="27" t="s">
        <v>49</v>
      </c>
      <c r="W165" s="27" t="s">
        <v>49</v>
      </c>
      <c r="X165" s="27" t="s">
        <v>49</v>
      </c>
      <c r="Y165" s="31" t="s">
        <v>49</v>
      </c>
      <c r="Z165" s="31"/>
      <c r="AA165" s="31" t="s">
        <v>49</v>
      </c>
      <c r="AB165" s="31"/>
      <c r="AC165" s="31" t="s">
        <v>49</v>
      </c>
      <c r="AD165" s="32">
        <v>0</v>
      </c>
      <c r="AE165" s="33">
        <f t="shared" si="12"/>
        <v>0</v>
      </c>
      <c r="AF165" s="34">
        <v>0</v>
      </c>
      <c r="AG165" s="33">
        <f t="shared" si="15"/>
        <v>0</v>
      </c>
      <c r="AH165" s="34">
        <v>0</v>
      </c>
      <c r="AI165" s="33">
        <f t="shared" si="16"/>
        <v>0</v>
      </c>
      <c r="AJ165" s="34" t="s">
        <v>49</v>
      </c>
      <c r="AK165" s="34">
        <v>0</v>
      </c>
      <c r="AL165" s="33">
        <f t="shared" si="17"/>
        <v>0</v>
      </c>
      <c r="AM165" s="35"/>
      <c r="AN165" s="34" t="s">
        <v>49</v>
      </c>
      <c r="AO165" s="34" t="s">
        <v>49</v>
      </c>
      <c r="AP165" s="34" t="s">
        <v>49</v>
      </c>
      <c r="AQ165" s="34" t="s">
        <v>49</v>
      </c>
      <c r="AR165" s="34" t="s">
        <v>49</v>
      </c>
      <c r="AS165" s="27" t="s">
        <v>183</v>
      </c>
      <c r="AT165" s="34" t="s">
        <v>49</v>
      </c>
      <c r="AU165" s="73" t="s">
        <v>351</v>
      </c>
      <c r="AV165" s="68"/>
    </row>
    <row r="166" spans="1:50" ht="112.5" x14ac:dyDescent="0.2">
      <c r="A166" s="23">
        <v>158</v>
      </c>
      <c r="B166" s="23" t="s">
        <v>52</v>
      </c>
      <c r="C166" s="24"/>
      <c r="D166" s="37"/>
      <c r="E166" s="26"/>
      <c r="F166" s="64" t="s">
        <v>231</v>
      </c>
      <c r="G166" s="57"/>
      <c r="H166" s="12"/>
      <c r="I166" s="12"/>
      <c r="J166" s="43">
        <v>1</v>
      </c>
      <c r="K166" s="27" t="s">
        <v>341</v>
      </c>
      <c r="L166" s="27"/>
      <c r="M166" s="27"/>
      <c r="N166" s="27"/>
      <c r="O166" s="27"/>
      <c r="P166" s="51">
        <v>900000</v>
      </c>
      <c r="Q166" s="28">
        <f t="shared" si="13"/>
        <v>900000</v>
      </c>
      <c r="R166" s="29" t="s">
        <v>50</v>
      </c>
      <c r="S166" s="28">
        <f t="shared" si="14"/>
        <v>-900000</v>
      </c>
      <c r="T166" s="27" t="s">
        <v>49</v>
      </c>
      <c r="U166" s="27" t="s">
        <v>49</v>
      </c>
      <c r="V166" s="27" t="s">
        <v>49</v>
      </c>
      <c r="W166" s="27" t="s">
        <v>49</v>
      </c>
      <c r="X166" s="27" t="s">
        <v>49</v>
      </c>
      <c r="Y166" s="31" t="s">
        <v>49</v>
      </c>
      <c r="Z166" s="31"/>
      <c r="AA166" s="31" t="s">
        <v>49</v>
      </c>
      <c r="AB166" s="31"/>
      <c r="AC166" s="31" t="s">
        <v>49</v>
      </c>
      <c r="AD166" s="32">
        <v>0</v>
      </c>
      <c r="AE166" s="33">
        <f t="shared" si="12"/>
        <v>0</v>
      </c>
      <c r="AF166" s="34">
        <v>0</v>
      </c>
      <c r="AG166" s="33">
        <f t="shared" si="15"/>
        <v>0</v>
      </c>
      <c r="AH166" s="34">
        <v>0</v>
      </c>
      <c r="AI166" s="33">
        <f t="shared" si="16"/>
        <v>0</v>
      </c>
      <c r="AJ166" s="34" t="s">
        <v>49</v>
      </c>
      <c r="AK166" s="34">
        <v>0</v>
      </c>
      <c r="AL166" s="33">
        <f t="shared" si="17"/>
        <v>0</v>
      </c>
      <c r="AM166" s="35"/>
      <c r="AN166" s="34" t="s">
        <v>49</v>
      </c>
      <c r="AO166" s="34" t="s">
        <v>49</v>
      </c>
      <c r="AP166" s="34" t="s">
        <v>49</v>
      </c>
      <c r="AQ166" s="34" t="s">
        <v>49</v>
      </c>
      <c r="AR166" s="34" t="s">
        <v>49</v>
      </c>
      <c r="AS166" s="27" t="s">
        <v>183</v>
      </c>
      <c r="AT166" s="34" t="s">
        <v>49</v>
      </c>
      <c r="AU166" s="73" t="s">
        <v>358</v>
      </c>
      <c r="AV166" s="79">
        <v>595000</v>
      </c>
    </row>
    <row r="167" spans="1:50" x14ac:dyDescent="0.2">
      <c r="A167" s="23">
        <v>159</v>
      </c>
      <c r="B167" s="23" t="s">
        <v>52</v>
      </c>
      <c r="C167" s="24"/>
      <c r="D167" s="37"/>
      <c r="E167" s="26"/>
      <c r="F167" s="64" t="s">
        <v>201</v>
      </c>
      <c r="G167" s="57"/>
      <c r="H167" s="12"/>
      <c r="I167" s="12"/>
      <c r="J167" s="43">
        <v>1</v>
      </c>
      <c r="K167" s="27" t="s">
        <v>341</v>
      </c>
      <c r="L167" s="27"/>
      <c r="M167" s="27"/>
      <c r="N167" s="27"/>
      <c r="O167" s="27"/>
      <c r="P167" s="51">
        <v>47250</v>
      </c>
      <c r="Q167" s="28">
        <f t="shared" si="13"/>
        <v>47250</v>
      </c>
      <c r="R167" s="29" t="s">
        <v>50</v>
      </c>
      <c r="S167" s="28">
        <f t="shared" si="14"/>
        <v>-47250</v>
      </c>
      <c r="T167" s="27" t="s">
        <v>49</v>
      </c>
      <c r="U167" s="27" t="s">
        <v>49</v>
      </c>
      <c r="V167" s="27" t="s">
        <v>49</v>
      </c>
      <c r="W167" s="27" t="s">
        <v>49</v>
      </c>
      <c r="X167" s="27" t="s">
        <v>49</v>
      </c>
      <c r="Y167" s="31" t="s">
        <v>49</v>
      </c>
      <c r="Z167" s="31"/>
      <c r="AA167" s="31" t="s">
        <v>49</v>
      </c>
      <c r="AB167" s="31"/>
      <c r="AC167" s="31" t="s">
        <v>49</v>
      </c>
      <c r="AD167" s="32">
        <v>0</v>
      </c>
      <c r="AE167" s="33">
        <f t="shared" si="12"/>
        <v>0</v>
      </c>
      <c r="AF167" s="34">
        <v>0</v>
      </c>
      <c r="AG167" s="33">
        <f t="shared" si="15"/>
        <v>0</v>
      </c>
      <c r="AH167" s="34">
        <v>0</v>
      </c>
      <c r="AI167" s="33">
        <f t="shared" si="16"/>
        <v>0</v>
      </c>
      <c r="AJ167" s="34" t="s">
        <v>49</v>
      </c>
      <c r="AK167" s="34">
        <v>0</v>
      </c>
      <c r="AL167" s="33">
        <f t="shared" si="17"/>
        <v>0</v>
      </c>
      <c r="AM167" s="35"/>
      <c r="AN167" s="34" t="s">
        <v>49</v>
      </c>
      <c r="AO167" s="34" t="s">
        <v>49</v>
      </c>
      <c r="AP167" s="34" t="s">
        <v>49</v>
      </c>
      <c r="AQ167" s="34" t="s">
        <v>49</v>
      </c>
      <c r="AR167" s="34" t="s">
        <v>49</v>
      </c>
      <c r="AS167" s="27" t="s">
        <v>183</v>
      </c>
      <c r="AT167" s="34" t="s">
        <v>49</v>
      </c>
      <c r="AU167" s="73" t="s">
        <v>359</v>
      </c>
      <c r="AV167" s="79">
        <v>21000</v>
      </c>
    </row>
    <row r="168" spans="1:50" ht="47.25" x14ac:dyDescent="0.2">
      <c r="A168" s="23">
        <v>160</v>
      </c>
      <c r="B168" s="23" t="s">
        <v>52</v>
      </c>
      <c r="C168" s="24"/>
      <c r="D168" s="37"/>
      <c r="E168" s="26"/>
      <c r="F168" s="64" t="s">
        <v>255</v>
      </c>
      <c r="G168" s="57" t="s">
        <v>324</v>
      </c>
      <c r="H168" s="12"/>
      <c r="I168" s="12"/>
      <c r="J168" s="43">
        <v>1</v>
      </c>
      <c r="K168" s="27" t="s">
        <v>341</v>
      </c>
      <c r="L168" s="27"/>
      <c r="M168" s="27"/>
      <c r="N168" s="27"/>
      <c r="O168" s="27"/>
      <c r="P168" s="51">
        <v>4239000</v>
      </c>
      <c r="Q168" s="28">
        <f t="shared" si="13"/>
        <v>4239000</v>
      </c>
      <c r="R168" s="29" t="s">
        <v>50</v>
      </c>
      <c r="S168" s="28">
        <f t="shared" si="14"/>
        <v>-4239000</v>
      </c>
      <c r="T168" s="27" t="s">
        <v>49</v>
      </c>
      <c r="U168" s="27" t="s">
        <v>49</v>
      </c>
      <c r="V168" s="27" t="s">
        <v>49</v>
      </c>
      <c r="W168" s="27" t="s">
        <v>49</v>
      </c>
      <c r="X168" s="27" t="s">
        <v>49</v>
      </c>
      <c r="Y168" s="31" t="s">
        <v>49</v>
      </c>
      <c r="Z168" s="31"/>
      <c r="AA168" s="31" t="s">
        <v>49</v>
      </c>
      <c r="AB168" s="31"/>
      <c r="AC168" s="31" t="s">
        <v>49</v>
      </c>
      <c r="AD168" s="32">
        <v>0</v>
      </c>
      <c r="AE168" s="33">
        <f t="shared" si="12"/>
        <v>0</v>
      </c>
      <c r="AF168" s="34">
        <v>0</v>
      </c>
      <c r="AG168" s="33">
        <f t="shared" si="15"/>
        <v>0</v>
      </c>
      <c r="AH168" s="34">
        <v>0</v>
      </c>
      <c r="AI168" s="33">
        <f t="shared" si="16"/>
        <v>0</v>
      </c>
      <c r="AJ168" s="34" t="s">
        <v>49</v>
      </c>
      <c r="AK168" s="34">
        <v>0</v>
      </c>
      <c r="AL168" s="33">
        <f t="shared" si="17"/>
        <v>0</v>
      </c>
      <c r="AM168" s="35"/>
      <c r="AN168" s="34" t="s">
        <v>49</v>
      </c>
      <c r="AO168" s="34" t="s">
        <v>49</v>
      </c>
      <c r="AP168" s="34" t="s">
        <v>49</v>
      </c>
      <c r="AQ168" s="34" t="s">
        <v>49</v>
      </c>
      <c r="AR168" s="34" t="s">
        <v>49</v>
      </c>
      <c r="AS168" s="27" t="s">
        <v>183</v>
      </c>
      <c r="AT168" s="34" t="s">
        <v>49</v>
      </c>
      <c r="AU168" s="73" t="s">
        <v>358</v>
      </c>
      <c r="AV168" s="79">
        <v>811800</v>
      </c>
    </row>
    <row r="169" spans="1:50" ht="56.25" x14ac:dyDescent="0.2">
      <c r="A169" s="23">
        <v>161</v>
      </c>
      <c r="B169" s="23" t="s">
        <v>52</v>
      </c>
      <c r="C169" s="24"/>
      <c r="D169" s="37"/>
      <c r="E169" s="26"/>
      <c r="F169" s="64" t="s">
        <v>256</v>
      </c>
      <c r="G169" s="57" t="s">
        <v>325</v>
      </c>
      <c r="H169" s="12"/>
      <c r="I169" s="12"/>
      <c r="J169" s="43">
        <v>1</v>
      </c>
      <c r="K169" s="27" t="s">
        <v>341</v>
      </c>
      <c r="L169" s="27"/>
      <c r="M169" s="27"/>
      <c r="N169" s="27"/>
      <c r="O169" s="27"/>
      <c r="P169" s="51">
        <v>9000000</v>
      </c>
      <c r="Q169" s="28">
        <f t="shared" si="13"/>
        <v>9000000</v>
      </c>
      <c r="R169" s="29" t="s">
        <v>50</v>
      </c>
      <c r="S169" s="28">
        <f t="shared" si="14"/>
        <v>-9000000</v>
      </c>
      <c r="T169" s="27" t="s">
        <v>49</v>
      </c>
      <c r="U169" s="27" t="s">
        <v>49</v>
      </c>
      <c r="V169" s="27" t="s">
        <v>49</v>
      </c>
      <c r="W169" s="27" t="s">
        <v>49</v>
      </c>
      <c r="X169" s="27" t="s">
        <v>49</v>
      </c>
      <c r="Y169" s="31" t="s">
        <v>49</v>
      </c>
      <c r="Z169" s="31"/>
      <c r="AA169" s="31" t="s">
        <v>49</v>
      </c>
      <c r="AB169" s="31"/>
      <c r="AC169" s="31" t="s">
        <v>49</v>
      </c>
      <c r="AD169" s="32">
        <v>0</v>
      </c>
      <c r="AE169" s="33">
        <f t="shared" si="12"/>
        <v>0</v>
      </c>
      <c r="AF169" s="34">
        <v>0</v>
      </c>
      <c r="AG169" s="33">
        <f t="shared" si="15"/>
        <v>0</v>
      </c>
      <c r="AH169" s="34">
        <v>0</v>
      </c>
      <c r="AI169" s="33">
        <f t="shared" si="16"/>
        <v>0</v>
      </c>
      <c r="AJ169" s="34" t="s">
        <v>49</v>
      </c>
      <c r="AK169" s="34">
        <v>0</v>
      </c>
      <c r="AL169" s="33">
        <f t="shared" si="17"/>
        <v>0</v>
      </c>
      <c r="AM169" s="35"/>
      <c r="AN169" s="34" t="s">
        <v>49</v>
      </c>
      <c r="AO169" s="34" t="s">
        <v>49</v>
      </c>
      <c r="AP169" s="34" t="s">
        <v>49</v>
      </c>
      <c r="AQ169" s="34" t="s">
        <v>49</v>
      </c>
      <c r="AR169" s="34" t="s">
        <v>49</v>
      </c>
      <c r="AS169" s="27" t="s">
        <v>183</v>
      </c>
      <c r="AT169" s="34" t="s">
        <v>49</v>
      </c>
      <c r="AU169" s="73" t="s">
        <v>358</v>
      </c>
      <c r="AV169" s="68"/>
      <c r="AW169" s="1" t="s">
        <v>400</v>
      </c>
      <c r="AX169" s="79" t="s">
        <v>389</v>
      </c>
    </row>
    <row r="170" spans="1:50" ht="37.5" x14ac:dyDescent="0.2">
      <c r="A170" s="23">
        <v>162</v>
      </c>
      <c r="B170" s="23" t="s">
        <v>52</v>
      </c>
      <c r="C170" s="24"/>
      <c r="D170" s="37"/>
      <c r="E170" s="26"/>
      <c r="F170" s="64" t="s">
        <v>257</v>
      </c>
      <c r="G170" s="57" t="s">
        <v>326</v>
      </c>
      <c r="H170" s="12"/>
      <c r="I170" s="12"/>
      <c r="J170" s="43">
        <v>8</v>
      </c>
      <c r="K170" s="27" t="s">
        <v>341</v>
      </c>
      <c r="L170" s="27"/>
      <c r="M170" s="27"/>
      <c r="N170" s="27"/>
      <c r="O170" s="27"/>
      <c r="P170" s="51">
        <v>76500</v>
      </c>
      <c r="Q170" s="28">
        <f t="shared" si="13"/>
        <v>612000</v>
      </c>
      <c r="R170" s="29" t="s">
        <v>50</v>
      </c>
      <c r="S170" s="28">
        <f t="shared" si="14"/>
        <v>-612000</v>
      </c>
      <c r="T170" s="27" t="s">
        <v>49</v>
      </c>
      <c r="U170" s="27" t="s">
        <v>49</v>
      </c>
      <c r="V170" s="27" t="s">
        <v>49</v>
      </c>
      <c r="W170" s="27" t="s">
        <v>49</v>
      </c>
      <c r="X170" s="27" t="s">
        <v>49</v>
      </c>
      <c r="Y170" s="31" t="s">
        <v>49</v>
      </c>
      <c r="Z170" s="31"/>
      <c r="AA170" s="31" t="s">
        <v>49</v>
      </c>
      <c r="AB170" s="31"/>
      <c r="AC170" s="31" t="s">
        <v>49</v>
      </c>
      <c r="AD170" s="32">
        <v>0</v>
      </c>
      <c r="AE170" s="33">
        <f t="shared" si="12"/>
        <v>0</v>
      </c>
      <c r="AF170" s="34">
        <v>0</v>
      </c>
      <c r="AG170" s="33">
        <f t="shared" si="15"/>
        <v>0</v>
      </c>
      <c r="AH170" s="34">
        <v>0</v>
      </c>
      <c r="AI170" s="33">
        <f t="shared" si="16"/>
        <v>0</v>
      </c>
      <c r="AJ170" s="34" t="s">
        <v>49</v>
      </c>
      <c r="AK170" s="34">
        <v>0</v>
      </c>
      <c r="AL170" s="33">
        <f t="shared" si="17"/>
        <v>0</v>
      </c>
      <c r="AM170" s="35"/>
      <c r="AN170" s="34" t="s">
        <v>49</v>
      </c>
      <c r="AO170" s="34" t="s">
        <v>49</v>
      </c>
      <c r="AP170" s="34" t="s">
        <v>49</v>
      </c>
      <c r="AQ170" s="34" t="s">
        <v>49</v>
      </c>
      <c r="AR170" s="34" t="s">
        <v>49</v>
      </c>
      <c r="AS170" s="27" t="s">
        <v>183</v>
      </c>
      <c r="AT170" s="34" t="s">
        <v>49</v>
      </c>
      <c r="AU170" s="73" t="s">
        <v>366</v>
      </c>
      <c r="AV170" s="68"/>
    </row>
    <row r="171" spans="1:50" ht="112.5" x14ac:dyDescent="0.2">
      <c r="A171" s="23">
        <v>163</v>
      </c>
      <c r="B171" s="23" t="s">
        <v>52</v>
      </c>
      <c r="C171" s="24"/>
      <c r="D171" s="37"/>
      <c r="E171" s="26"/>
      <c r="F171" s="64" t="s">
        <v>258</v>
      </c>
      <c r="G171" s="57" t="s">
        <v>327</v>
      </c>
      <c r="H171" s="12"/>
      <c r="I171" s="12"/>
      <c r="J171" s="43">
        <v>1</v>
      </c>
      <c r="K171" s="27" t="s">
        <v>341</v>
      </c>
      <c r="L171" s="27"/>
      <c r="M171" s="27"/>
      <c r="N171" s="27"/>
      <c r="O171" s="27"/>
      <c r="P171" s="51">
        <v>2700000</v>
      </c>
      <c r="Q171" s="28">
        <f t="shared" si="13"/>
        <v>2700000</v>
      </c>
      <c r="R171" s="29" t="s">
        <v>50</v>
      </c>
      <c r="S171" s="28">
        <f t="shared" si="14"/>
        <v>-2700000</v>
      </c>
      <c r="T171" s="27" t="s">
        <v>49</v>
      </c>
      <c r="U171" s="27" t="s">
        <v>49</v>
      </c>
      <c r="V171" s="27" t="s">
        <v>49</v>
      </c>
      <c r="W171" s="27" t="s">
        <v>49</v>
      </c>
      <c r="X171" s="27" t="s">
        <v>49</v>
      </c>
      <c r="Y171" s="31" t="s">
        <v>49</v>
      </c>
      <c r="Z171" s="31"/>
      <c r="AA171" s="31" t="s">
        <v>49</v>
      </c>
      <c r="AB171" s="31"/>
      <c r="AC171" s="31" t="s">
        <v>49</v>
      </c>
      <c r="AD171" s="32">
        <v>0</v>
      </c>
      <c r="AE171" s="33">
        <f t="shared" si="12"/>
        <v>0</v>
      </c>
      <c r="AF171" s="34">
        <v>0</v>
      </c>
      <c r="AG171" s="33">
        <f t="shared" si="15"/>
        <v>0</v>
      </c>
      <c r="AH171" s="34">
        <v>0</v>
      </c>
      <c r="AI171" s="33">
        <f t="shared" si="16"/>
        <v>0</v>
      </c>
      <c r="AJ171" s="34" t="s">
        <v>49</v>
      </c>
      <c r="AK171" s="34">
        <v>0</v>
      </c>
      <c r="AL171" s="33">
        <f t="shared" si="17"/>
        <v>0</v>
      </c>
      <c r="AM171" s="35"/>
      <c r="AN171" s="34" t="s">
        <v>49</v>
      </c>
      <c r="AO171" s="34" t="s">
        <v>49</v>
      </c>
      <c r="AP171" s="34" t="s">
        <v>49</v>
      </c>
      <c r="AQ171" s="34" t="s">
        <v>49</v>
      </c>
      <c r="AR171" s="34" t="s">
        <v>49</v>
      </c>
      <c r="AS171" s="27" t="s">
        <v>183</v>
      </c>
      <c r="AT171" s="34" t="s">
        <v>49</v>
      </c>
      <c r="AU171" s="73" t="s">
        <v>366</v>
      </c>
      <c r="AV171" s="68"/>
    </row>
    <row r="172" spans="1:50" ht="37.5" x14ac:dyDescent="0.2">
      <c r="A172" s="23">
        <v>164</v>
      </c>
      <c r="B172" s="23" t="s">
        <v>52</v>
      </c>
      <c r="C172" s="24"/>
      <c r="D172" s="37"/>
      <c r="E172" s="26"/>
      <c r="F172" s="64" t="s">
        <v>202</v>
      </c>
      <c r="G172" s="57" t="s">
        <v>272</v>
      </c>
      <c r="H172" s="12"/>
      <c r="I172" s="12"/>
      <c r="J172" s="43">
        <v>1</v>
      </c>
      <c r="K172" s="27" t="s">
        <v>341</v>
      </c>
      <c r="L172" s="27"/>
      <c r="M172" s="27"/>
      <c r="N172" s="27"/>
      <c r="O172" s="27"/>
      <c r="P172" s="51">
        <v>5850</v>
      </c>
      <c r="Q172" s="28">
        <f t="shared" si="13"/>
        <v>5850</v>
      </c>
      <c r="R172" s="29" t="s">
        <v>50</v>
      </c>
      <c r="S172" s="28">
        <f t="shared" si="14"/>
        <v>-5850</v>
      </c>
      <c r="T172" s="27" t="s">
        <v>49</v>
      </c>
      <c r="U172" s="27" t="s">
        <v>49</v>
      </c>
      <c r="V172" s="27" t="s">
        <v>49</v>
      </c>
      <c r="W172" s="27" t="s">
        <v>49</v>
      </c>
      <c r="X172" s="27" t="s">
        <v>49</v>
      </c>
      <c r="Y172" s="31" t="s">
        <v>49</v>
      </c>
      <c r="Z172" s="31"/>
      <c r="AA172" s="31" t="s">
        <v>49</v>
      </c>
      <c r="AB172" s="31"/>
      <c r="AC172" s="31" t="s">
        <v>49</v>
      </c>
      <c r="AD172" s="32">
        <v>0</v>
      </c>
      <c r="AE172" s="33">
        <f t="shared" ref="AE172:AE190" si="18">C172*AD172</f>
        <v>0</v>
      </c>
      <c r="AF172" s="34">
        <v>0</v>
      </c>
      <c r="AG172" s="33">
        <f t="shared" si="15"/>
        <v>0</v>
      </c>
      <c r="AH172" s="34">
        <v>0</v>
      </c>
      <c r="AI172" s="33">
        <f t="shared" si="16"/>
        <v>0</v>
      </c>
      <c r="AJ172" s="34" t="s">
        <v>49</v>
      </c>
      <c r="AK172" s="34">
        <v>0</v>
      </c>
      <c r="AL172" s="33">
        <f t="shared" si="17"/>
        <v>0</v>
      </c>
      <c r="AM172" s="35"/>
      <c r="AN172" s="34" t="s">
        <v>49</v>
      </c>
      <c r="AO172" s="34" t="s">
        <v>49</v>
      </c>
      <c r="AP172" s="34" t="s">
        <v>49</v>
      </c>
      <c r="AQ172" s="34" t="s">
        <v>49</v>
      </c>
      <c r="AR172" s="34" t="s">
        <v>49</v>
      </c>
      <c r="AS172" s="27" t="s">
        <v>183</v>
      </c>
      <c r="AT172" s="34" t="s">
        <v>49</v>
      </c>
      <c r="AU172" s="73" t="s">
        <v>359</v>
      </c>
      <c r="AV172" s="68"/>
    </row>
    <row r="173" spans="1:50" x14ac:dyDescent="0.2">
      <c r="A173" s="23">
        <v>165</v>
      </c>
      <c r="B173" s="23" t="s">
        <v>52</v>
      </c>
      <c r="C173" s="24"/>
      <c r="D173" s="37"/>
      <c r="E173" s="26"/>
      <c r="F173" s="64" t="s">
        <v>259</v>
      </c>
      <c r="G173" s="100" t="s">
        <v>328</v>
      </c>
      <c r="H173" s="12"/>
      <c r="I173" s="12"/>
      <c r="J173" s="43">
        <v>1</v>
      </c>
      <c r="K173" s="27" t="s">
        <v>341</v>
      </c>
      <c r="L173" s="27"/>
      <c r="M173" s="27"/>
      <c r="N173" s="27"/>
      <c r="O173" s="27"/>
      <c r="P173" s="51">
        <v>351000</v>
      </c>
      <c r="Q173" s="28">
        <f t="shared" si="13"/>
        <v>351000</v>
      </c>
      <c r="R173" s="29" t="s">
        <v>50</v>
      </c>
      <c r="S173" s="28">
        <f t="shared" si="14"/>
        <v>-351000</v>
      </c>
      <c r="T173" s="27" t="s">
        <v>49</v>
      </c>
      <c r="U173" s="27" t="s">
        <v>49</v>
      </c>
      <c r="V173" s="27" t="s">
        <v>49</v>
      </c>
      <c r="W173" s="27" t="s">
        <v>49</v>
      </c>
      <c r="X173" s="27" t="s">
        <v>49</v>
      </c>
      <c r="Y173" s="31" t="s">
        <v>49</v>
      </c>
      <c r="Z173" s="31"/>
      <c r="AA173" s="31" t="s">
        <v>49</v>
      </c>
      <c r="AB173" s="31"/>
      <c r="AC173" s="31" t="s">
        <v>49</v>
      </c>
      <c r="AD173" s="32">
        <v>0</v>
      </c>
      <c r="AE173" s="33">
        <f t="shared" si="18"/>
        <v>0</v>
      </c>
      <c r="AF173" s="34">
        <v>0</v>
      </c>
      <c r="AG173" s="33">
        <f t="shared" si="15"/>
        <v>0</v>
      </c>
      <c r="AH173" s="34">
        <v>0</v>
      </c>
      <c r="AI173" s="33">
        <f t="shared" si="16"/>
        <v>0</v>
      </c>
      <c r="AJ173" s="34" t="s">
        <v>49</v>
      </c>
      <c r="AK173" s="34">
        <v>0</v>
      </c>
      <c r="AL173" s="33">
        <f t="shared" si="17"/>
        <v>0</v>
      </c>
      <c r="AM173" s="35"/>
      <c r="AN173" s="34" t="s">
        <v>49</v>
      </c>
      <c r="AO173" s="34" t="s">
        <v>49</v>
      </c>
      <c r="AP173" s="34" t="s">
        <v>49</v>
      </c>
      <c r="AQ173" s="34" t="s">
        <v>49</v>
      </c>
      <c r="AR173" s="34" t="s">
        <v>49</v>
      </c>
      <c r="AS173" s="27" t="s">
        <v>183</v>
      </c>
      <c r="AT173" s="34" t="s">
        <v>49</v>
      </c>
      <c r="AU173" s="73" t="s">
        <v>356</v>
      </c>
      <c r="AV173" s="68"/>
    </row>
    <row r="174" spans="1:50" x14ac:dyDescent="0.2">
      <c r="A174" s="23">
        <v>166</v>
      </c>
      <c r="B174" s="23" t="s">
        <v>52</v>
      </c>
      <c r="C174" s="24"/>
      <c r="D174" s="37"/>
      <c r="E174" s="26"/>
      <c r="F174" s="64" t="s">
        <v>259</v>
      </c>
      <c r="G174" s="100" t="s">
        <v>328</v>
      </c>
      <c r="H174" s="12"/>
      <c r="I174" s="12"/>
      <c r="J174" s="43">
        <v>5</v>
      </c>
      <c r="K174" s="27" t="s">
        <v>341</v>
      </c>
      <c r="L174" s="27"/>
      <c r="M174" s="27"/>
      <c r="N174" s="27"/>
      <c r="O174" s="27"/>
      <c r="P174" s="51">
        <v>351000</v>
      </c>
      <c r="Q174" s="28">
        <f t="shared" si="13"/>
        <v>1755000</v>
      </c>
      <c r="R174" s="29" t="s">
        <v>50</v>
      </c>
      <c r="S174" s="28">
        <f t="shared" si="14"/>
        <v>-1755000</v>
      </c>
      <c r="T174" s="27" t="s">
        <v>49</v>
      </c>
      <c r="U174" s="27" t="s">
        <v>49</v>
      </c>
      <c r="V174" s="27" t="s">
        <v>49</v>
      </c>
      <c r="W174" s="27" t="s">
        <v>49</v>
      </c>
      <c r="X174" s="27" t="s">
        <v>49</v>
      </c>
      <c r="Y174" s="31" t="s">
        <v>49</v>
      </c>
      <c r="Z174" s="31"/>
      <c r="AA174" s="31" t="s">
        <v>49</v>
      </c>
      <c r="AB174" s="31"/>
      <c r="AC174" s="31" t="s">
        <v>49</v>
      </c>
      <c r="AD174" s="32">
        <v>0</v>
      </c>
      <c r="AE174" s="33">
        <f t="shared" si="18"/>
        <v>0</v>
      </c>
      <c r="AF174" s="34">
        <v>0</v>
      </c>
      <c r="AG174" s="33">
        <f t="shared" si="15"/>
        <v>0</v>
      </c>
      <c r="AH174" s="34">
        <v>0</v>
      </c>
      <c r="AI174" s="33">
        <f t="shared" si="16"/>
        <v>0</v>
      </c>
      <c r="AJ174" s="34" t="s">
        <v>49</v>
      </c>
      <c r="AK174" s="34">
        <v>0</v>
      </c>
      <c r="AL174" s="33">
        <f t="shared" si="17"/>
        <v>0</v>
      </c>
      <c r="AM174" s="35"/>
      <c r="AN174" s="34" t="s">
        <v>49</v>
      </c>
      <c r="AO174" s="34" t="s">
        <v>49</v>
      </c>
      <c r="AP174" s="34" t="s">
        <v>49</v>
      </c>
      <c r="AQ174" s="34" t="s">
        <v>49</v>
      </c>
      <c r="AR174" s="34" t="s">
        <v>49</v>
      </c>
      <c r="AS174" s="27" t="s">
        <v>183</v>
      </c>
      <c r="AT174" s="34" t="s">
        <v>49</v>
      </c>
      <c r="AU174" s="73" t="s">
        <v>356</v>
      </c>
      <c r="AV174" s="68"/>
    </row>
    <row r="175" spans="1:50" ht="112.5" x14ac:dyDescent="0.2">
      <c r="A175" s="23">
        <v>167</v>
      </c>
      <c r="B175" s="23" t="s">
        <v>52</v>
      </c>
      <c r="C175" s="24"/>
      <c r="D175" s="37"/>
      <c r="E175" s="26"/>
      <c r="F175" s="64" t="s">
        <v>260</v>
      </c>
      <c r="G175" s="57"/>
      <c r="H175" s="12"/>
      <c r="I175" s="12"/>
      <c r="J175" s="43">
        <v>1</v>
      </c>
      <c r="K175" s="27" t="s">
        <v>341</v>
      </c>
      <c r="L175" s="27"/>
      <c r="M175" s="27"/>
      <c r="N175" s="27"/>
      <c r="O175" s="27"/>
      <c r="P175" s="51">
        <v>787500</v>
      </c>
      <c r="Q175" s="28">
        <f t="shared" si="13"/>
        <v>787500</v>
      </c>
      <c r="R175" s="29" t="s">
        <v>50</v>
      </c>
      <c r="S175" s="28">
        <f t="shared" si="14"/>
        <v>-787500</v>
      </c>
      <c r="T175" s="27" t="s">
        <v>49</v>
      </c>
      <c r="U175" s="27" t="s">
        <v>49</v>
      </c>
      <c r="V175" s="27" t="s">
        <v>49</v>
      </c>
      <c r="W175" s="27" t="s">
        <v>49</v>
      </c>
      <c r="X175" s="27" t="s">
        <v>49</v>
      </c>
      <c r="Y175" s="31" t="s">
        <v>49</v>
      </c>
      <c r="Z175" s="31"/>
      <c r="AA175" s="31" t="s">
        <v>49</v>
      </c>
      <c r="AB175" s="31"/>
      <c r="AC175" s="31" t="s">
        <v>49</v>
      </c>
      <c r="AD175" s="32">
        <v>0</v>
      </c>
      <c r="AE175" s="33">
        <f t="shared" si="18"/>
        <v>0</v>
      </c>
      <c r="AF175" s="34">
        <v>0</v>
      </c>
      <c r="AG175" s="33">
        <f t="shared" si="15"/>
        <v>0</v>
      </c>
      <c r="AH175" s="34">
        <v>0</v>
      </c>
      <c r="AI175" s="33">
        <f t="shared" si="16"/>
        <v>0</v>
      </c>
      <c r="AJ175" s="34" t="s">
        <v>49</v>
      </c>
      <c r="AK175" s="34">
        <v>0</v>
      </c>
      <c r="AL175" s="33">
        <f t="shared" si="17"/>
        <v>0</v>
      </c>
      <c r="AM175" s="35"/>
      <c r="AN175" s="34" t="s">
        <v>49</v>
      </c>
      <c r="AO175" s="34" t="s">
        <v>49</v>
      </c>
      <c r="AP175" s="34" t="s">
        <v>49</v>
      </c>
      <c r="AQ175" s="34" t="s">
        <v>49</v>
      </c>
      <c r="AR175" s="34" t="s">
        <v>49</v>
      </c>
      <c r="AS175" s="27" t="s">
        <v>183</v>
      </c>
      <c r="AT175" s="34" t="s">
        <v>49</v>
      </c>
      <c r="AU175" s="73" t="s">
        <v>358</v>
      </c>
      <c r="AV175" s="79">
        <v>595000</v>
      </c>
    </row>
    <row r="176" spans="1:50" ht="37.5" x14ac:dyDescent="0.2">
      <c r="A176" s="23">
        <v>168</v>
      </c>
      <c r="B176" s="23" t="s">
        <v>52</v>
      </c>
      <c r="C176" s="24"/>
      <c r="D176" s="37"/>
      <c r="E176" s="26"/>
      <c r="F176" s="64" t="s">
        <v>261</v>
      </c>
      <c r="G176" s="57" t="s">
        <v>329</v>
      </c>
      <c r="H176" s="12"/>
      <c r="I176" s="12"/>
      <c r="J176" s="43">
        <v>1</v>
      </c>
      <c r="K176" s="27" t="s">
        <v>341</v>
      </c>
      <c r="L176" s="27"/>
      <c r="M176" s="27"/>
      <c r="N176" s="27"/>
      <c r="O176" s="27"/>
      <c r="P176" s="51">
        <v>2500000</v>
      </c>
      <c r="Q176" s="28">
        <f t="shared" si="13"/>
        <v>2500000</v>
      </c>
      <c r="R176" s="29" t="s">
        <v>50</v>
      </c>
      <c r="S176" s="28">
        <f t="shared" si="14"/>
        <v>-2500000</v>
      </c>
      <c r="T176" s="27" t="s">
        <v>49</v>
      </c>
      <c r="U176" s="27" t="s">
        <v>49</v>
      </c>
      <c r="V176" s="27" t="s">
        <v>49</v>
      </c>
      <c r="W176" s="27" t="s">
        <v>49</v>
      </c>
      <c r="X176" s="27" t="s">
        <v>49</v>
      </c>
      <c r="Y176" s="31" t="s">
        <v>49</v>
      </c>
      <c r="Z176" s="31"/>
      <c r="AA176" s="31" t="s">
        <v>49</v>
      </c>
      <c r="AB176" s="31"/>
      <c r="AC176" s="31" t="s">
        <v>49</v>
      </c>
      <c r="AD176" s="32">
        <v>0</v>
      </c>
      <c r="AE176" s="33">
        <f t="shared" si="18"/>
        <v>0</v>
      </c>
      <c r="AF176" s="34">
        <v>0</v>
      </c>
      <c r="AG176" s="33">
        <f t="shared" si="15"/>
        <v>0</v>
      </c>
      <c r="AH176" s="34">
        <v>0</v>
      </c>
      <c r="AI176" s="33">
        <f t="shared" si="16"/>
        <v>0</v>
      </c>
      <c r="AJ176" s="34" t="s">
        <v>49</v>
      </c>
      <c r="AK176" s="34">
        <v>0</v>
      </c>
      <c r="AL176" s="33">
        <f t="shared" si="17"/>
        <v>0</v>
      </c>
      <c r="AM176" s="35"/>
      <c r="AN176" s="34" t="s">
        <v>49</v>
      </c>
      <c r="AO176" s="34" t="s">
        <v>49</v>
      </c>
      <c r="AP176" s="34" t="s">
        <v>49</v>
      </c>
      <c r="AQ176" s="34" t="s">
        <v>49</v>
      </c>
      <c r="AR176" s="34" t="s">
        <v>49</v>
      </c>
      <c r="AS176" s="27" t="s">
        <v>183</v>
      </c>
      <c r="AT176" s="34" t="s">
        <v>49</v>
      </c>
      <c r="AU176" s="73" t="s">
        <v>356</v>
      </c>
      <c r="AV176" s="68"/>
    </row>
    <row r="177" spans="1:48" ht="75" x14ac:dyDescent="0.2">
      <c r="A177" s="23">
        <v>169</v>
      </c>
      <c r="B177" s="23" t="s">
        <v>52</v>
      </c>
      <c r="C177" s="24"/>
      <c r="D177" s="37"/>
      <c r="E177" s="26"/>
      <c r="F177" s="65" t="s">
        <v>343</v>
      </c>
      <c r="G177" s="57" t="s">
        <v>330</v>
      </c>
      <c r="H177" s="12"/>
      <c r="I177" s="12"/>
      <c r="J177" s="43">
        <v>1</v>
      </c>
      <c r="K177" s="27" t="s">
        <v>341</v>
      </c>
      <c r="L177" s="27"/>
      <c r="M177" s="27"/>
      <c r="N177" s="27"/>
      <c r="O177" s="27"/>
      <c r="P177" s="51">
        <v>4950000</v>
      </c>
      <c r="Q177" s="28">
        <f t="shared" si="13"/>
        <v>4950000</v>
      </c>
      <c r="R177" s="29" t="s">
        <v>50</v>
      </c>
      <c r="S177" s="28">
        <f t="shared" si="14"/>
        <v>-4950000</v>
      </c>
      <c r="T177" s="27" t="s">
        <v>49</v>
      </c>
      <c r="U177" s="27" t="s">
        <v>49</v>
      </c>
      <c r="V177" s="27" t="s">
        <v>49</v>
      </c>
      <c r="W177" s="27" t="s">
        <v>49</v>
      </c>
      <c r="X177" s="27" t="s">
        <v>49</v>
      </c>
      <c r="Y177" s="31" t="s">
        <v>49</v>
      </c>
      <c r="Z177" s="31"/>
      <c r="AA177" s="31" t="s">
        <v>49</v>
      </c>
      <c r="AB177" s="31"/>
      <c r="AC177" s="31" t="s">
        <v>49</v>
      </c>
      <c r="AD177" s="32">
        <v>0</v>
      </c>
      <c r="AE177" s="33">
        <f t="shared" si="18"/>
        <v>0</v>
      </c>
      <c r="AF177" s="34">
        <v>0</v>
      </c>
      <c r="AG177" s="33">
        <f t="shared" si="15"/>
        <v>0</v>
      </c>
      <c r="AH177" s="34">
        <v>0</v>
      </c>
      <c r="AI177" s="33">
        <f t="shared" si="16"/>
        <v>0</v>
      </c>
      <c r="AJ177" s="34" t="s">
        <v>49</v>
      </c>
      <c r="AK177" s="34">
        <v>0</v>
      </c>
      <c r="AL177" s="33">
        <f t="shared" si="17"/>
        <v>0</v>
      </c>
      <c r="AM177" s="35"/>
      <c r="AN177" s="34" t="s">
        <v>49</v>
      </c>
      <c r="AO177" s="34" t="s">
        <v>49</v>
      </c>
      <c r="AP177" s="34" t="s">
        <v>49</v>
      </c>
      <c r="AQ177" s="34" t="s">
        <v>49</v>
      </c>
      <c r="AR177" s="34" t="s">
        <v>49</v>
      </c>
      <c r="AS177" s="27" t="s">
        <v>183</v>
      </c>
      <c r="AT177" s="34" t="s">
        <v>49</v>
      </c>
      <c r="AU177" s="73" t="s">
        <v>356</v>
      </c>
      <c r="AV177" s="68"/>
    </row>
    <row r="178" spans="1:48" ht="56.25" x14ac:dyDescent="0.2">
      <c r="A178" s="23">
        <v>170</v>
      </c>
      <c r="B178" s="23" t="s">
        <v>52</v>
      </c>
      <c r="C178" s="24"/>
      <c r="D178" s="37"/>
      <c r="E178" s="26"/>
      <c r="F178" s="64" t="s">
        <v>262</v>
      </c>
      <c r="G178" s="57" t="s">
        <v>331</v>
      </c>
      <c r="H178" s="12"/>
      <c r="I178" s="12"/>
      <c r="J178" s="43">
        <v>1</v>
      </c>
      <c r="K178" s="27" t="s">
        <v>341</v>
      </c>
      <c r="L178" s="27"/>
      <c r="M178" s="27"/>
      <c r="N178" s="27"/>
      <c r="O178" s="27"/>
      <c r="P178" s="51">
        <v>7500000</v>
      </c>
      <c r="Q178" s="28">
        <f t="shared" si="13"/>
        <v>7500000</v>
      </c>
      <c r="R178" s="29" t="s">
        <v>50</v>
      </c>
      <c r="S178" s="28">
        <f t="shared" si="14"/>
        <v>-7500000</v>
      </c>
      <c r="T178" s="27" t="s">
        <v>49</v>
      </c>
      <c r="U178" s="27" t="s">
        <v>49</v>
      </c>
      <c r="V178" s="27" t="s">
        <v>49</v>
      </c>
      <c r="W178" s="27" t="s">
        <v>49</v>
      </c>
      <c r="X178" s="27" t="s">
        <v>49</v>
      </c>
      <c r="Y178" s="31" t="s">
        <v>49</v>
      </c>
      <c r="Z178" s="31"/>
      <c r="AA178" s="31" t="s">
        <v>49</v>
      </c>
      <c r="AB178" s="31"/>
      <c r="AC178" s="31" t="s">
        <v>49</v>
      </c>
      <c r="AD178" s="32">
        <v>0</v>
      </c>
      <c r="AE178" s="33">
        <f t="shared" si="18"/>
        <v>0</v>
      </c>
      <c r="AF178" s="34">
        <v>0</v>
      </c>
      <c r="AG178" s="33">
        <f t="shared" si="15"/>
        <v>0</v>
      </c>
      <c r="AH178" s="34">
        <v>0</v>
      </c>
      <c r="AI178" s="33">
        <f t="shared" si="16"/>
        <v>0</v>
      </c>
      <c r="AJ178" s="34" t="s">
        <v>49</v>
      </c>
      <c r="AK178" s="34">
        <v>0</v>
      </c>
      <c r="AL178" s="33">
        <f t="shared" si="17"/>
        <v>0</v>
      </c>
      <c r="AM178" s="35"/>
      <c r="AN178" s="34" t="s">
        <v>49</v>
      </c>
      <c r="AO178" s="34" t="s">
        <v>49</v>
      </c>
      <c r="AP178" s="34" t="s">
        <v>49</v>
      </c>
      <c r="AQ178" s="34" t="s">
        <v>49</v>
      </c>
      <c r="AR178" s="34" t="s">
        <v>49</v>
      </c>
      <c r="AS178" s="27" t="s">
        <v>183</v>
      </c>
      <c r="AT178" s="34" t="s">
        <v>49</v>
      </c>
      <c r="AU178" s="73" t="s">
        <v>366</v>
      </c>
      <c r="AV178" s="68"/>
    </row>
    <row r="179" spans="1:48" ht="56.25" x14ac:dyDescent="0.2">
      <c r="A179" s="23">
        <v>171</v>
      </c>
      <c r="B179" s="23" t="s">
        <v>52</v>
      </c>
      <c r="C179" s="24"/>
      <c r="D179" s="37"/>
      <c r="E179" s="26"/>
      <c r="F179" s="64" t="s">
        <v>263</v>
      </c>
      <c r="G179" s="100" t="s">
        <v>158</v>
      </c>
      <c r="H179" s="12"/>
      <c r="I179" s="12"/>
      <c r="J179" s="43">
        <v>1</v>
      </c>
      <c r="K179" s="27" t="s">
        <v>341</v>
      </c>
      <c r="L179" s="27"/>
      <c r="M179" s="27"/>
      <c r="N179" s="27"/>
      <c r="O179" s="27"/>
      <c r="P179" s="51">
        <v>6300000</v>
      </c>
      <c r="Q179" s="28">
        <f t="shared" si="13"/>
        <v>6300000</v>
      </c>
      <c r="R179" s="29" t="s">
        <v>50</v>
      </c>
      <c r="S179" s="28">
        <f t="shared" si="14"/>
        <v>-6300000</v>
      </c>
      <c r="T179" s="27" t="s">
        <v>49</v>
      </c>
      <c r="U179" s="27" t="s">
        <v>49</v>
      </c>
      <c r="V179" s="27" t="s">
        <v>49</v>
      </c>
      <c r="W179" s="27" t="s">
        <v>49</v>
      </c>
      <c r="X179" s="27" t="s">
        <v>49</v>
      </c>
      <c r="Y179" s="31" t="s">
        <v>49</v>
      </c>
      <c r="Z179" s="31"/>
      <c r="AA179" s="31" t="s">
        <v>49</v>
      </c>
      <c r="AB179" s="31"/>
      <c r="AC179" s="31" t="s">
        <v>49</v>
      </c>
      <c r="AD179" s="32">
        <v>0</v>
      </c>
      <c r="AE179" s="33">
        <f t="shared" si="18"/>
        <v>0</v>
      </c>
      <c r="AF179" s="34">
        <v>0</v>
      </c>
      <c r="AG179" s="33">
        <f t="shared" si="15"/>
        <v>0</v>
      </c>
      <c r="AH179" s="34">
        <v>0</v>
      </c>
      <c r="AI179" s="33">
        <f t="shared" si="16"/>
        <v>0</v>
      </c>
      <c r="AJ179" s="34" t="s">
        <v>49</v>
      </c>
      <c r="AK179" s="34">
        <v>0</v>
      </c>
      <c r="AL179" s="33">
        <f t="shared" si="17"/>
        <v>0</v>
      </c>
      <c r="AM179" s="35"/>
      <c r="AN179" s="34" t="s">
        <v>49</v>
      </c>
      <c r="AO179" s="34" t="s">
        <v>49</v>
      </c>
      <c r="AP179" s="34" t="s">
        <v>49</v>
      </c>
      <c r="AQ179" s="34" t="s">
        <v>49</v>
      </c>
      <c r="AR179" s="34" t="s">
        <v>49</v>
      </c>
      <c r="AS179" s="27" t="s">
        <v>183</v>
      </c>
      <c r="AT179" s="34" t="s">
        <v>49</v>
      </c>
      <c r="AU179" s="73" t="s">
        <v>345</v>
      </c>
      <c r="AV179" s="68"/>
    </row>
    <row r="180" spans="1:48" x14ac:dyDescent="0.2">
      <c r="A180" s="23">
        <v>172</v>
      </c>
      <c r="B180" s="23" t="s">
        <v>52</v>
      </c>
      <c r="C180" s="24"/>
      <c r="D180" s="37"/>
      <c r="E180" s="26"/>
      <c r="F180" s="64" t="s">
        <v>213</v>
      </c>
      <c r="G180" s="100" t="s">
        <v>286</v>
      </c>
      <c r="H180" s="12"/>
      <c r="I180" s="12"/>
      <c r="J180" s="43">
        <v>2</v>
      </c>
      <c r="K180" s="27" t="s">
        <v>341</v>
      </c>
      <c r="L180" s="27"/>
      <c r="M180" s="27"/>
      <c r="N180" s="27"/>
      <c r="O180" s="27"/>
      <c r="P180" s="51">
        <v>1575000</v>
      </c>
      <c r="Q180" s="28">
        <f t="shared" si="13"/>
        <v>3150000</v>
      </c>
      <c r="R180" s="29" t="s">
        <v>50</v>
      </c>
      <c r="S180" s="28">
        <f t="shared" si="14"/>
        <v>-3150000</v>
      </c>
      <c r="T180" s="27" t="s">
        <v>49</v>
      </c>
      <c r="U180" s="27" t="s">
        <v>49</v>
      </c>
      <c r="V180" s="27" t="s">
        <v>49</v>
      </c>
      <c r="W180" s="27" t="s">
        <v>49</v>
      </c>
      <c r="X180" s="27" t="s">
        <v>49</v>
      </c>
      <c r="Y180" s="31" t="s">
        <v>49</v>
      </c>
      <c r="Z180" s="31"/>
      <c r="AA180" s="31" t="s">
        <v>49</v>
      </c>
      <c r="AB180" s="31"/>
      <c r="AC180" s="31" t="s">
        <v>49</v>
      </c>
      <c r="AD180" s="32">
        <v>0</v>
      </c>
      <c r="AE180" s="33">
        <f t="shared" si="18"/>
        <v>0</v>
      </c>
      <c r="AF180" s="34">
        <v>0</v>
      </c>
      <c r="AG180" s="33">
        <f t="shared" si="15"/>
        <v>0</v>
      </c>
      <c r="AH180" s="34">
        <v>0</v>
      </c>
      <c r="AI180" s="33">
        <f t="shared" si="16"/>
        <v>0</v>
      </c>
      <c r="AJ180" s="34" t="s">
        <v>49</v>
      </c>
      <c r="AK180" s="34">
        <v>0</v>
      </c>
      <c r="AL180" s="33">
        <f t="shared" si="17"/>
        <v>0</v>
      </c>
      <c r="AM180" s="35"/>
      <c r="AN180" s="34" t="s">
        <v>49</v>
      </c>
      <c r="AO180" s="34" t="s">
        <v>49</v>
      </c>
      <c r="AP180" s="34" t="s">
        <v>49</v>
      </c>
      <c r="AQ180" s="34" t="s">
        <v>49</v>
      </c>
      <c r="AR180" s="34" t="s">
        <v>49</v>
      </c>
      <c r="AS180" s="27" t="s">
        <v>183</v>
      </c>
      <c r="AT180" s="34" t="s">
        <v>49</v>
      </c>
      <c r="AU180" s="73" t="s">
        <v>372</v>
      </c>
      <c r="AV180" s="68"/>
    </row>
    <row r="181" spans="1:48" ht="37.5" x14ac:dyDescent="0.2">
      <c r="A181" s="23">
        <v>173</v>
      </c>
      <c r="B181" s="23" t="s">
        <v>52</v>
      </c>
      <c r="C181" s="24"/>
      <c r="D181" s="37"/>
      <c r="E181" s="26"/>
      <c r="F181" s="64" t="s">
        <v>264</v>
      </c>
      <c r="G181" s="57" t="s">
        <v>332</v>
      </c>
      <c r="H181" s="12"/>
      <c r="I181" s="12"/>
      <c r="J181" s="43">
        <v>1</v>
      </c>
      <c r="K181" s="27" t="s">
        <v>341</v>
      </c>
      <c r="L181" s="27"/>
      <c r="M181" s="27"/>
      <c r="N181" s="27"/>
      <c r="O181" s="27"/>
      <c r="P181" s="51">
        <v>328500</v>
      </c>
      <c r="Q181" s="28">
        <f t="shared" si="13"/>
        <v>328500</v>
      </c>
      <c r="R181" s="29" t="s">
        <v>50</v>
      </c>
      <c r="S181" s="28">
        <f t="shared" si="14"/>
        <v>-328500</v>
      </c>
      <c r="T181" s="27" t="s">
        <v>49</v>
      </c>
      <c r="U181" s="27" t="s">
        <v>49</v>
      </c>
      <c r="V181" s="27" t="s">
        <v>49</v>
      </c>
      <c r="W181" s="27" t="s">
        <v>49</v>
      </c>
      <c r="X181" s="27" t="s">
        <v>49</v>
      </c>
      <c r="Y181" s="31" t="s">
        <v>49</v>
      </c>
      <c r="Z181" s="31"/>
      <c r="AA181" s="31" t="s">
        <v>49</v>
      </c>
      <c r="AB181" s="31"/>
      <c r="AC181" s="31" t="s">
        <v>49</v>
      </c>
      <c r="AD181" s="32">
        <v>0</v>
      </c>
      <c r="AE181" s="33">
        <f t="shared" si="18"/>
        <v>0</v>
      </c>
      <c r="AF181" s="34">
        <v>0</v>
      </c>
      <c r="AG181" s="33">
        <f t="shared" si="15"/>
        <v>0</v>
      </c>
      <c r="AH181" s="34">
        <v>0</v>
      </c>
      <c r="AI181" s="33">
        <f t="shared" si="16"/>
        <v>0</v>
      </c>
      <c r="AJ181" s="34" t="s">
        <v>49</v>
      </c>
      <c r="AK181" s="34">
        <v>0</v>
      </c>
      <c r="AL181" s="33">
        <f t="shared" si="17"/>
        <v>0</v>
      </c>
      <c r="AM181" s="35"/>
      <c r="AN181" s="34" t="s">
        <v>49</v>
      </c>
      <c r="AO181" s="34" t="s">
        <v>49</v>
      </c>
      <c r="AP181" s="34" t="s">
        <v>49</v>
      </c>
      <c r="AQ181" s="34" t="s">
        <v>49</v>
      </c>
      <c r="AR181" s="34" t="s">
        <v>49</v>
      </c>
      <c r="AS181" s="27" t="s">
        <v>183</v>
      </c>
      <c r="AT181" s="34" t="s">
        <v>49</v>
      </c>
      <c r="AU181" s="73" t="s">
        <v>366</v>
      </c>
      <c r="AV181" s="68"/>
    </row>
    <row r="182" spans="1:48" ht="37.5" x14ac:dyDescent="0.2">
      <c r="A182" s="23">
        <v>174</v>
      </c>
      <c r="B182" s="23" t="s">
        <v>52</v>
      </c>
      <c r="C182" s="24"/>
      <c r="D182" s="37"/>
      <c r="E182" s="26"/>
      <c r="F182" s="64" t="s">
        <v>265</v>
      </c>
      <c r="G182" s="57" t="s">
        <v>332</v>
      </c>
      <c r="H182" s="12"/>
      <c r="I182" s="12"/>
      <c r="J182" s="43">
        <v>1</v>
      </c>
      <c r="K182" s="27" t="s">
        <v>341</v>
      </c>
      <c r="L182" s="27"/>
      <c r="M182" s="27"/>
      <c r="N182" s="27"/>
      <c r="O182" s="27"/>
      <c r="P182" s="51">
        <v>328500</v>
      </c>
      <c r="Q182" s="28">
        <f t="shared" si="13"/>
        <v>328500</v>
      </c>
      <c r="R182" s="29" t="s">
        <v>50</v>
      </c>
      <c r="S182" s="28">
        <f t="shared" si="14"/>
        <v>-328500</v>
      </c>
      <c r="T182" s="27" t="s">
        <v>49</v>
      </c>
      <c r="U182" s="27" t="s">
        <v>49</v>
      </c>
      <c r="V182" s="27" t="s">
        <v>49</v>
      </c>
      <c r="W182" s="27" t="s">
        <v>49</v>
      </c>
      <c r="X182" s="27" t="s">
        <v>49</v>
      </c>
      <c r="Y182" s="31" t="s">
        <v>49</v>
      </c>
      <c r="Z182" s="31"/>
      <c r="AA182" s="31" t="s">
        <v>49</v>
      </c>
      <c r="AB182" s="31"/>
      <c r="AC182" s="31" t="s">
        <v>49</v>
      </c>
      <c r="AD182" s="32">
        <v>0</v>
      </c>
      <c r="AE182" s="33">
        <f t="shared" si="18"/>
        <v>0</v>
      </c>
      <c r="AF182" s="34">
        <v>0</v>
      </c>
      <c r="AG182" s="33">
        <f t="shared" si="15"/>
        <v>0</v>
      </c>
      <c r="AH182" s="34">
        <v>0</v>
      </c>
      <c r="AI182" s="33">
        <f t="shared" si="16"/>
        <v>0</v>
      </c>
      <c r="AJ182" s="34" t="s">
        <v>49</v>
      </c>
      <c r="AK182" s="34">
        <v>0</v>
      </c>
      <c r="AL182" s="33">
        <f t="shared" si="17"/>
        <v>0</v>
      </c>
      <c r="AM182" s="35"/>
      <c r="AN182" s="34" t="s">
        <v>49</v>
      </c>
      <c r="AO182" s="34" t="s">
        <v>49</v>
      </c>
      <c r="AP182" s="34" t="s">
        <v>49</v>
      </c>
      <c r="AQ182" s="34" t="s">
        <v>49</v>
      </c>
      <c r="AR182" s="34" t="s">
        <v>49</v>
      </c>
      <c r="AS182" s="27" t="s">
        <v>183</v>
      </c>
      <c r="AT182" s="34" t="s">
        <v>49</v>
      </c>
      <c r="AU182" s="73" t="s">
        <v>366</v>
      </c>
      <c r="AV182" s="68"/>
    </row>
    <row r="183" spans="1:48" ht="56.25" x14ac:dyDescent="0.2">
      <c r="A183" s="23">
        <v>175</v>
      </c>
      <c r="B183" s="23" t="s">
        <v>52</v>
      </c>
      <c r="C183" s="24"/>
      <c r="D183" s="37"/>
      <c r="E183" s="26"/>
      <c r="F183" s="64" t="s">
        <v>266</v>
      </c>
      <c r="G183" s="57" t="s">
        <v>333</v>
      </c>
      <c r="H183" s="12"/>
      <c r="I183" s="12"/>
      <c r="J183" s="43">
        <v>3</v>
      </c>
      <c r="K183" s="27" t="s">
        <v>341</v>
      </c>
      <c r="L183" s="27"/>
      <c r="M183" s="27"/>
      <c r="N183" s="27"/>
      <c r="O183" s="27"/>
      <c r="P183" s="51">
        <v>1800000</v>
      </c>
      <c r="Q183" s="28">
        <f t="shared" si="13"/>
        <v>5400000</v>
      </c>
      <c r="R183" s="29" t="s">
        <v>50</v>
      </c>
      <c r="S183" s="28">
        <f t="shared" si="14"/>
        <v>-5400000</v>
      </c>
      <c r="T183" s="27" t="s">
        <v>49</v>
      </c>
      <c r="U183" s="27" t="s">
        <v>49</v>
      </c>
      <c r="V183" s="27" t="s">
        <v>49</v>
      </c>
      <c r="W183" s="27" t="s">
        <v>49</v>
      </c>
      <c r="X183" s="27" t="s">
        <v>49</v>
      </c>
      <c r="Y183" s="31" t="s">
        <v>49</v>
      </c>
      <c r="Z183" s="31"/>
      <c r="AA183" s="31" t="s">
        <v>49</v>
      </c>
      <c r="AB183" s="31"/>
      <c r="AC183" s="31" t="s">
        <v>49</v>
      </c>
      <c r="AD183" s="32">
        <v>0</v>
      </c>
      <c r="AE183" s="33">
        <f>C183*AD183</f>
        <v>0</v>
      </c>
      <c r="AF183" s="34">
        <v>0</v>
      </c>
      <c r="AG183" s="33">
        <f t="shared" si="15"/>
        <v>0</v>
      </c>
      <c r="AH183" s="34">
        <v>0</v>
      </c>
      <c r="AI183" s="33">
        <f t="shared" si="16"/>
        <v>0</v>
      </c>
      <c r="AJ183" s="34" t="s">
        <v>49</v>
      </c>
      <c r="AK183" s="34">
        <v>0</v>
      </c>
      <c r="AL183" s="33">
        <f t="shared" si="17"/>
        <v>0</v>
      </c>
      <c r="AM183" s="35"/>
      <c r="AN183" s="34" t="s">
        <v>49</v>
      </c>
      <c r="AO183" s="34" t="s">
        <v>49</v>
      </c>
      <c r="AP183" s="34" t="s">
        <v>49</v>
      </c>
      <c r="AQ183" s="34" t="s">
        <v>49</v>
      </c>
      <c r="AR183" s="34" t="s">
        <v>49</v>
      </c>
      <c r="AS183" s="27" t="s">
        <v>183</v>
      </c>
      <c r="AT183" s="34" t="s">
        <v>49</v>
      </c>
      <c r="AU183" s="73" t="s">
        <v>358</v>
      </c>
      <c r="AV183" s="79">
        <v>160000</v>
      </c>
    </row>
    <row r="184" spans="1:48" x14ac:dyDescent="0.2">
      <c r="A184" s="23">
        <v>176</v>
      </c>
      <c r="B184" s="23" t="s">
        <v>52</v>
      </c>
      <c r="C184" s="24"/>
      <c r="D184" s="37"/>
      <c r="E184" s="26"/>
      <c r="F184" s="64" t="s">
        <v>267</v>
      </c>
      <c r="G184" s="57" t="s">
        <v>334</v>
      </c>
      <c r="H184" s="12"/>
      <c r="I184" s="12"/>
      <c r="J184" s="43">
        <v>1</v>
      </c>
      <c r="K184" s="27" t="s">
        <v>341</v>
      </c>
      <c r="L184" s="27"/>
      <c r="M184" s="27"/>
      <c r="N184" s="27"/>
      <c r="O184" s="27"/>
      <c r="P184" s="51">
        <v>189000</v>
      </c>
      <c r="Q184" s="28">
        <f t="shared" si="13"/>
        <v>189000</v>
      </c>
      <c r="R184" s="29" t="s">
        <v>50</v>
      </c>
      <c r="S184" s="28">
        <f t="shared" si="14"/>
        <v>-189000</v>
      </c>
      <c r="T184" s="27" t="s">
        <v>49</v>
      </c>
      <c r="U184" s="27" t="s">
        <v>49</v>
      </c>
      <c r="V184" s="27" t="s">
        <v>49</v>
      </c>
      <c r="W184" s="27" t="s">
        <v>49</v>
      </c>
      <c r="X184" s="27" t="s">
        <v>49</v>
      </c>
      <c r="Y184" s="31" t="s">
        <v>49</v>
      </c>
      <c r="Z184" s="31"/>
      <c r="AA184" s="31" t="s">
        <v>49</v>
      </c>
      <c r="AB184" s="31"/>
      <c r="AC184" s="31" t="s">
        <v>49</v>
      </c>
      <c r="AD184" s="32">
        <v>0</v>
      </c>
      <c r="AE184" s="33">
        <f t="shared" si="18"/>
        <v>0</v>
      </c>
      <c r="AF184" s="34">
        <v>0</v>
      </c>
      <c r="AG184" s="33">
        <f t="shared" si="15"/>
        <v>0</v>
      </c>
      <c r="AH184" s="34">
        <v>0</v>
      </c>
      <c r="AI184" s="33">
        <f t="shared" si="16"/>
        <v>0</v>
      </c>
      <c r="AJ184" s="34" t="s">
        <v>49</v>
      </c>
      <c r="AK184" s="34">
        <v>0</v>
      </c>
      <c r="AL184" s="33">
        <f t="shared" si="17"/>
        <v>0</v>
      </c>
      <c r="AM184" s="35"/>
      <c r="AN184" s="34" t="s">
        <v>49</v>
      </c>
      <c r="AO184" s="34" t="s">
        <v>49</v>
      </c>
      <c r="AP184" s="34" t="s">
        <v>49</v>
      </c>
      <c r="AQ184" s="34" t="s">
        <v>49</v>
      </c>
      <c r="AR184" s="34" t="s">
        <v>49</v>
      </c>
      <c r="AS184" s="27" t="s">
        <v>183</v>
      </c>
      <c r="AT184" s="34" t="s">
        <v>49</v>
      </c>
      <c r="AU184" s="73" t="s">
        <v>366</v>
      </c>
      <c r="AV184" s="68"/>
    </row>
    <row r="185" spans="1:48" ht="56.25" x14ac:dyDescent="0.2">
      <c r="A185" s="23">
        <v>177</v>
      </c>
      <c r="B185" s="23" t="s">
        <v>52</v>
      </c>
      <c r="C185" s="24"/>
      <c r="D185" s="37"/>
      <c r="E185" s="26"/>
      <c r="F185" s="64" t="s">
        <v>268</v>
      </c>
      <c r="G185" s="100" t="s">
        <v>162</v>
      </c>
      <c r="H185" s="12"/>
      <c r="I185" s="12"/>
      <c r="J185" s="43">
        <v>4</v>
      </c>
      <c r="K185" s="27" t="s">
        <v>341</v>
      </c>
      <c r="L185" s="27"/>
      <c r="M185" s="27"/>
      <c r="N185" s="27"/>
      <c r="O185" s="27"/>
      <c r="P185" s="51">
        <v>3900000</v>
      </c>
      <c r="Q185" s="28">
        <f t="shared" si="13"/>
        <v>15600000</v>
      </c>
      <c r="R185" s="29" t="s">
        <v>50</v>
      </c>
      <c r="S185" s="28">
        <f t="shared" si="14"/>
        <v>-15600000</v>
      </c>
      <c r="T185" s="27" t="s">
        <v>49</v>
      </c>
      <c r="U185" s="27" t="s">
        <v>49</v>
      </c>
      <c r="V185" s="27" t="s">
        <v>49</v>
      </c>
      <c r="W185" s="27" t="s">
        <v>49</v>
      </c>
      <c r="X185" s="27" t="s">
        <v>49</v>
      </c>
      <c r="Y185" s="31" t="s">
        <v>49</v>
      </c>
      <c r="Z185" s="31"/>
      <c r="AA185" s="31" t="s">
        <v>49</v>
      </c>
      <c r="AB185" s="31"/>
      <c r="AC185" s="31" t="s">
        <v>49</v>
      </c>
      <c r="AD185" s="32">
        <v>0</v>
      </c>
      <c r="AE185" s="33">
        <f t="shared" si="18"/>
        <v>0</v>
      </c>
      <c r="AF185" s="34">
        <v>0</v>
      </c>
      <c r="AG185" s="33">
        <f t="shared" si="15"/>
        <v>0</v>
      </c>
      <c r="AH185" s="34">
        <v>0</v>
      </c>
      <c r="AI185" s="33">
        <f t="shared" si="16"/>
        <v>0</v>
      </c>
      <c r="AJ185" s="34" t="s">
        <v>49</v>
      </c>
      <c r="AK185" s="34">
        <v>0</v>
      </c>
      <c r="AL185" s="33">
        <f t="shared" si="17"/>
        <v>0</v>
      </c>
      <c r="AM185" s="35"/>
      <c r="AN185" s="34" t="s">
        <v>49</v>
      </c>
      <c r="AO185" s="34" t="s">
        <v>49</v>
      </c>
      <c r="AP185" s="34" t="s">
        <v>49</v>
      </c>
      <c r="AQ185" s="34" t="s">
        <v>49</v>
      </c>
      <c r="AR185" s="34" t="s">
        <v>49</v>
      </c>
      <c r="AS185" s="27" t="s">
        <v>183</v>
      </c>
      <c r="AT185" s="34" t="s">
        <v>49</v>
      </c>
      <c r="AU185" s="73" t="s">
        <v>372</v>
      </c>
      <c r="AV185" s="68"/>
    </row>
    <row r="186" spans="1:48" x14ac:dyDescent="0.2">
      <c r="A186" s="23">
        <v>178</v>
      </c>
      <c r="B186" s="23" t="s">
        <v>52</v>
      </c>
      <c r="C186" s="24"/>
      <c r="D186" s="37"/>
      <c r="E186" s="26"/>
      <c r="F186" s="64" t="s">
        <v>336</v>
      </c>
      <c r="G186" s="57"/>
      <c r="H186" s="12"/>
      <c r="I186" s="12"/>
      <c r="J186" s="52">
        <v>6</v>
      </c>
      <c r="K186" s="27" t="s">
        <v>341</v>
      </c>
      <c r="L186" s="27"/>
      <c r="M186" s="27"/>
      <c r="N186" s="27"/>
      <c r="O186" s="27"/>
      <c r="P186" s="51">
        <v>27000000</v>
      </c>
      <c r="Q186" s="28">
        <f t="shared" si="13"/>
        <v>162000000</v>
      </c>
      <c r="R186" s="29" t="s">
        <v>50</v>
      </c>
      <c r="S186" s="28">
        <f t="shared" si="14"/>
        <v>-162000000</v>
      </c>
      <c r="T186" s="27" t="s">
        <v>49</v>
      </c>
      <c r="U186" s="27" t="s">
        <v>49</v>
      </c>
      <c r="V186" s="27" t="s">
        <v>49</v>
      </c>
      <c r="W186" s="27" t="s">
        <v>49</v>
      </c>
      <c r="X186" s="27" t="s">
        <v>49</v>
      </c>
      <c r="Y186" s="31" t="s">
        <v>49</v>
      </c>
      <c r="Z186" s="31"/>
      <c r="AA186" s="31" t="s">
        <v>49</v>
      </c>
      <c r="AB186" s="31"/>
      <c r="AC186" s="31" t="s">
        <v>49</v>
      </c>
      <c r="AD186" s="32">
        <v>0</v>
      </c>
      <c r="AE186" s="33">
        <f t="shared" si="18"/>
        <v>0</v>
      </c>
      <c r="AF186" s="34">
        <v>0</v>
      </c>
      <c r="AG186" s="33">
        <f t="shared" si="15"/>
        <v>0</v>
      </c>
      <c r="AH186" s="34">
        <v>0</v>
      </c>
      <c r="AI186" s="33">
        <f t="shared" si="16"/>
        <v>0</v>
      </c>
      <c r="AJ186" s="34" t="s">
        <v>49</v>
      </c>
      <c r="AK186" s="34">
        <v>0</v>
      </c>
      <c r="AL186" s="33">
        <f t="shared" si="17"/>
        <v>0</v>
      </c>
      <c r="AM186" s="35"/>
      <c r="AN186" s="34" t="s">
        <v>49</v>
      </c>
      <c r="AO186" s="34" t="s">
        <v>49</v>
      </c>
      <c r="AP186" s="34" t="s">
        <v>49</v>
      </c>
      <c r="AQ186" s="34" t="s">
        <v>49</v>
      </c>
      <c r="AR186" s="34" t="s">
        <v>49</v>
      </c>
      <c r="AS186" s="27" t="s">
        <v>342</v>
      </c>
      <c r="AT186" s="34" t="s">
        <v>49</v>
      </c>
      <c r="AU186" s="73" t="s">
        <v>356</v>
      </c>
      <c r="AV186" s="68"/>
    </row>
    <row r="187" spans="1:48" x14ac:dyDescent="0.2">
      <c r="A187" s="23">
        <v>179</v>
      </c>
      <c r="B187" s="23" t="s">
        <v>52</v>
      </c>
      <c r="C187" s="24"/>
      <c r="D187" s="37"/>
      <c r="E187" s="26"/>
      <c r="F187" s="64" t="s">
        <v>337</v>
      </c>
      <c r="G187" s="57"/>
      <c r="H187" s="12"/>
      <c r="I187" s="12"/>
      <c r="J187" s="52">
        <v>3</v>
      </c>
      <c r="K187" s="27" t="s">
        <v>341</v>
      </c>
      <c r="L187" s="27"/>
      <c r="M187" s="27"/>
      <c r="N187" s="27"/>
      <c r="O187" s="27"/>
      <c r="P187" s="51">
        <v>50000000</v>
      </c>
      <c r="Q187" s="28">
        <f t="shared" si="13"/>
        <v>150000000</v>
      </c>
      <c r="R187" s="29" t="s">
        <v>50</v>
      </c>
      <c r="S187" s="28">
        <f t="shared" si="14"/>
        <v>-150000000</v>
      </c>
      <c r="T187" s="27" t="s">
        <v>49</v>
      </c>
      <c r="U187" s="27" t="s">
        <v>49</v>
      </c>
      <c r="V187" s="27" t="s">
        <v>49</v>
      </c>
      <c r="W187" s="27" t="s">
        <v>49</v>
      </c>
      <c r="X187" s="27" t="s">
        <v>49</v>
      </c>
      <c r="Y187" s="31" t="s">
        <v>49</v>
      </c>
      <c r="Z187" s="31"/>
      <c r="AA187" s="31" t="s">
        <v>49</v>
      </c>
      <c r="AB187" s="31"/>
      <c r="AC187" s="31" t="s">
        <v>49</v>
      </c>
      <c r="AD187" s="32">
        <v>0</v>
      </c>
      <c r="AE187" s="33">
        <f t="shared" si="18"/>
        <v>0</v>
      </c>
      <c r="AF187" s="34">
        <v>0</v>
      </c>
      <c r="AG187" s="33">
        <f t="shared" si="15"/>
        <v>0</v>
      </c>
      <c r="AH187" s="34">
        <v>0</v>
      </c>
      <c r="AI187" s="33">
        <f t="shared" si="16"/>
        <v>0</v>
      </c>
      <c r="AJ187" s="34" t="s">
        <v>49</v>
      </c>
      <c r="AK187" s="34">
        <v>0</v>
      </c>
      <c r="AL187" s="33">
        <f t="shared" si="17"/>
        <v>0</v>
      </c>
      <c r="AM187" s="35"/>
      <c r="AN187" s="34" t="s">
        <v>49</v>
      </c>
      <c r="AO187" s="34" t="s">
        <v>49</v>
      </c>
      <c r="AP187" s="34" t="s">
        <v>49</v>
      </c>
      <c r="AQ187" s="34" t="s">
        <v>49</v>
      </c>
      <c r="AR187" s="34" t="s">
        <v>49</v>
      </c>
      <c r="AS187" s="27" t="s">
        <v>342</v>
      </c>
      <c r="AT187" s="34" t="s">
        <v>49</v>
      </c>
      <c r="AU187" s="73" t="s">
        <v>356</v>
      </c>
      <c r="AV187" s="68"/>
    </row>
    <row r="188" spans="1:48" x14ac:dyDescent="0.2">
      <c r="A188" s="23">
        <v>180</v>
      </c>
      <c r="B188" s="23" t="s">
        <v>52</v>
      </c>
      <c r="C188" s="24"/>
      <c r="D188" s="37"/>
      <c r="E188" s="26"/>
      <c r="F188" s="64" t="s">
        <v>338</v>
      </c>
      <c r="G188" s="57"/>
      <c r="H188" s="12"/>
      <c r="I188" s="12"/>
      <c r="J188" s="52">
        <v>3</v>
      </c>
      <c r="K188" s="27" t="s">
        <v>341</v>
      </c>
      <c r="L188" s="27"/>
      <c r="M188" s="27"/>
      <c r="N188" s="27"/>
      <c r="O188" s="27"/>
      <c r="P188" s="51">
        <v>45000000</v>
      </c>
      <c r="Q188" s="28">
        <f t="shared" si="13"/>
        <v>135000000</v>
      </c>
      <c r="R188" s="29" t="s">
        <v>50</v>
      </c>
      <c r="S188" s="28">
        <f t="shared" si="14"/>
        <v>-135000000</v>
      </c>
      <c r="T188" s="27" t="s">
        <v>49</v>
      </c>
      <c r="U188" s="27" t="s">
        <v>49</v>
      </c>
      <c r="V188" s="27" t="s">
        <v>49</v>
      </c>
      <c r="W188" s="27" t="s">
        <v>49</v>
      </c>
      <c r="X188" s="27" t="s">
        <v>49</v>
      </c>
      <c r="Y188" s="31" t="s">
        <v>49</v>
      </c>
      <c r="Z188" s="31"/>
      <c r="AA188" s="31" t="s">
        <v>49</v>
      </c>
      <c r="AB188" s="31"/>
      <c r="AC188" s="31" t="s">
        <v>49</v>
      </c>
      <c r="AD188" s="32">
        <v>0</v>
      </c>
      <c r="AE188" s="33">
        <f t="shared" si="18"/>
        <v>0</v>
      </c>
      <c r="AF188" s="34">
        <v>0</v>
      </c>
      <c r="AG188" s="33">
        <f t="shared" si="15"/>
        <v>0</v>
      </c>
      <c r="AH188" s="34">
        <v>0</v>
      </c>
      <c r="AI188" s="33">
        <f t="shared" si="16"/>
        <v>0</v>
      </c>
      <c r="AJ188" s="34" t="s">
        <v>49</v>
      </c>
      <c r="AK188" s="34">
        <v>0</v>
      </c>
      <c r="AL188" s="33">
        <f t="shared" si="17"/>
        <v>0</v>
      </c>
      <c r="AM188" s="35"/>
      <c r="AN188" s="34" t="s">
        <v>49</v>
      </c>
      <c r="AO188" s="34" t="s">
        <v>49</v>
      </c>
      <c r="AP188" s="34" t="s">
        <v>49</v>
      </c>
      <c r="AQ188" s="34" t="s">
        <v>49</v>
      </c>
      <c r="AR188" s="34" t="s">
        <v>49</v>
      </c>
      <c r="AS188" s="27" t="s">
        <v>342</v>
      </c>
      <c r="AT188" s="34" t="s">
        <v>49</v>
      </c>
      <c r="AU188" s="73" t="s">
        <v>356</v>
      </c>
      <c r="AV188" s="68"/>
    </row>
    <row r="189" spans="1:48" x14ac:dyDescent="0.2">
      <c r="A189" s="23">
        <v>181</v>
      </c>
      <c r="B189" s="23" t="s">
        <v>52</v>
      </c>
      <c r="C189" s="24"/>
      <c r="D189" s="37"/>
      <c r="E189" s="26"/>
      <c r="F189" s="64" t="s">
        <v>339</v>
      </c>
      <c r="G189" s="57"/>
      <c r="H189" s="12"/>
      <c r="I189" s="12"/>
      <c r="J189" s="52">
        <v>1</v>
      </c>
      <c r="K189" s="27" t="s">
        <v>341</v>
      </c>
      <c r="L189" s="27"/>
      <c r="M189" s="27"/>
      <c r="N189" s="27"/>
      <c r="O189" s="27"/>
      <c r="P189" s="51">
        <v>22500000</v>
      </c>
      <c r="Q189" s="28">
        <f t="shared" si="13"/>
        <v>22500000</v>
      </c>
      <c r="R189" s="29" t="s">
        <v>50</v>
      </c>
      <c r="S189" s="28">
        <f t="shared" si="14"/>
        <v>-22500000</v>
      </c>
      <c r="T189" s="27" t="s">
        <v>49</v>
      </c>
      <c r="U189" s="27" t="s">
        <v>49</v>
      </c>
      <c r="V189" s="27" t="s">
        <v>49</v>
      </c>
      <c r="W189" s="27" t="s">
        <v>49</v>
      </c>
      <c r="X189" s="27" t="s">
        <v>49</v>
      </c>
      <c r="Y189" s="31" t="s">
        <v>49</v>
      </c>
      <c r="Z189" s="31"/>
      <c r="AA189" s="31" t="s">
        <v>49</v>
      </c>
      <c r="AB189" s="31"/>
      <c r="AC189" s="31" t="s">
        <v>49</v>
      </c>
      <c r="AD189" s="32">
        <v>0</v>
      </c>
      <c r="AE189" s="33">
        <f t="shared" si="18"/>
        <v>0</v>
      </c>
      <c r="AF189" s="34">
        <v>0</v>
      </c>
      <c r="AG189" s="33">
        <f t="shared" si="15"/>
        <v>0</v>
      </c>
      <c r="AH189" s="34">
        <v>0</v>
      </c>
      <c r="AI189" s="33">
        <f t="shared" si="16"/>
        <v>0</v>
      </c>
      <c r="AJ189" s="34" t="s">
        <v>49</v>
      </c>
      <c r="AK189" s="34">
        <v>0</v>
      </c>
      <c r="AL189" s="33">
        <f t="shared" si="17"/>
        <v>0</v>
      </c>
      <c r="AM189" s="35"/>
      <c r="AN189" s="34" t="s">
        <v>49</v>
      </c>
      <c r="AO189" s="34" t="s">
        <v>49</v>
      </c>
      <c r="AP189" s="34" t="s">
        <v>49</v>
      </c>
      <c r="AQ189" s="34" t="s">
        <v>49</v>
      </c>
      <c r="AR189" s="34" t="s">
        <v>49</v>
      </c>
      <c r="AS189" s="27" t="s">
        <v>342</v>
      </c>
      <c r="AT189" s="34" t="s">
        <v>49</v>
      </c>
      <c r="AU189" s="73" t="s">
        <v>356</v>
      </c>
      <c r="AV189" s="68"/>
    </row>
    <row r="190" spans="1:48" x14ac:dyDescent="0.2">
      <c r="A190" s="23">
        <v>182</v>
      </c>
      <c r="B190" s="23" t="s">
        <v>52</v>
      </c>
      <c r="C190" s="24"/>
      <c r="D190" s="37"/>
      <c r="E190" s="26"/>
      <c r="F190" s="64" t="s">
        <v>340</v>
      </c>
      <c r="G190" s="57"/>
      <c r="H190" s="12"/>
      <c r="I190" s="12"/>
      <c r="J190" s="52">
        <v>3</v>
      </c>
      <c r="K190" s="27" t="s">
        <v>341</v>
      </c>
      <c r="L190" s="27"/>
      <c r="M190" s="27"/>
      <c r="N190" s="27"/>
      <c r="O190" s="27"/>
      <c r="P190" s="51">
        <v>14923631</v>
      </c>
      <c r="Q190" s="28">
        <f t="shared" si="13"/>
        <v>44770893</v>
      </c>
      <c r="R190" s="29" t="s">
        <v>50</v>
      </c>
      <c r="S190" s="28">
        <f t="shared" si="14"/>
        <v>-44770893</v>
      </c>
      <c r="T190" s="27" t="s">
        <v>49</v>
      </c>
      <c r="U190" s="27" t="s">
        <v>49</v>
      </c>
      <c r="V190" s="27" t="s">
        <v>49</v>
      </c>
      <c r="W190" s="27" t="s">
        <v>49</v>
      </c>
      <c r="X190" s="27" t="s">
        <v>49</v>
      </c>
      <c r="Y190" s="31" t="s">
        <v>49</v>
      </c>
      <c r="Z190" s="31"/>
      <c r="AA190" s="31" t="s">
        <v>49</v>
      </c>
      <c r="AB190" s="31"/>
      <c r="AC190" s="31" t="s">
        <v>49</v>
      </c>
      <c r="AD190" s="32">
        <v>0</v>
      </c>
      <c r="AE190" s="33">
        <f t="shared" si="18"/>
        <v>0</v>
      </c>
      <c r="AF190" s="34">
        <v>0</v>
      </c>
      <c r="AG190" s="33">
        <f t="shared" si="15"/>
        <v>0</v>
      </c>
      <c r="AH190" s="34">
        <v>0</v>
      </c>
      <c r="AI190" s="33">
        <f t="shared" si="16"/>
        <v>0</v>
      </c>
      <c r="AJ190" s="34" t="s">
        <v>49</v>
      </c>
      <c r="AK190" s="34">
        <v>0</v>
      </c>
      <c r="AL190" s="33">
        <f t="shared" si="17"/>
        <v>0</v>
      </c>
      <c r="AM190" s="35"/>
      <c r="AN190" s="34" t="s">
        <v>49</v>
      </c>
      <c r="AO190" s="34" t="s">
        <v>49</v>
      </c>
      <c r="AP190" s="34" t="s">
        <v>49</v>
      </c>
      <c r="AQ190" s="34" t="s">
        <v>49</v>
      </c>
      <c r="AR190" s="34" t="s">
        <v>49</v>
      </c>
      <c r="AS190" s="27" t="s">
        <v>183</v>
      </c>
      <c r="AT190" s="34" t="s">
        <v>49</v>
      </c>
      <c r="AU190" s="73" t="s">
        <v>358</v>
      </c>
      <c r="AV190" s="68"/>
    </row>
    <row r="191" spans="1:48" s="6" customFormat="1" x14ac:dyDescent="0.3">
      <c r="A191" s="38"/>
      <c r="B191" s="39" t="s">
        <v>48</v>
      </c>
      <c r="C191" s="40">
        <f>SUBTOTAL(9, C9:C41)</f>
        <v>0</v>
      </c>
      <c r="D191" s="39">
        <f>SUBTOTAL(9, D9:D43)</f>
        <v>0</v>
      </c>
      <c r="E191" s="40">
        <f>SUBTOTAL(9, E9:E41)</f>
        <v>0</v>
      </c>
      <c r="F191" s="62"/>
      <c r="G191" s="58"/>
      <c r="H191" s="38"/>
      <c r="I191" s="38"/>
      <c r="J191" s="53">
        <f>SUBTOTAL(9, J9:J190)</f>
        <v>243</v>
      </c>
      <c r="K191" s="38"/>
      <c r="L191" s="38"/>
      <c r="M191" s="38"/>
      <c r="N191" s="41">
        <f>SUBTOTAL(9, N9:N43)</f>
        <v>0</v>
      </c>
      <c r="O191" s="38"/>
      <c r="P191" s="40">
        <f>SUBTOTAL(9, P9:P190)</f>
        <v>1813737770.5</v>
      </c>
      <c r="Q191" s="40">
        <f>SUBTOTAL(9, Q9:Q190)</f>
        <v>2558303000</v>
      </c>
      <c r="R191" s="38"/>
      <c r="S191" s="40">
        <f>SUBTOTAL(9, S9:S190)</f>
        <v>-2558303000</v>
      </c>
      <c r="T191" s="38"/>
      <c r="U191" s="38"/>
      <c r="V191" s="38"/>
      <c r="W191" s="42"/>
      <c r="X191" s="42"/>
      <c r="Y191" s="38"/>
      <c r="Z191" s="38"/>
      <c r="AA191" s="38"/>
      <c r="AB191" s="38"/>
      <c r="AC191" s="38"/>
      <c r="AD191" s="38"/>
      <c r="AE191" s="40">
        <f>SUBTOTAL(9, AE9:AE190)</f>
        <v>0</v>
      </c>
      <c r="AF191" s="38"/>
      <c r="AG191" s="40">
        <f>SUBTOTAL(9, AG9:AG190)</f>
        <v>0</v>
      </c>
      <c r="AH191" s="38"/>
      <c r="AI191" s="40">
        <f>SUBTOTAL(9, AI9:AI190)</f>
        <v>0</v>
      </c>
      <c r="AJ191" s="38"/>
      <c r="AK191" s="38"/>
      <c r="AL191" s="40">
        <f>SUBTOTAL(9, AL9:AL190)</f>
        <v>0</v>
      </c>
      <c r="AM191" s="38"/>
      <c r="AN191" s="38"/>
      <c r="AO191" s="42"/>
      <c r="AP191" s="42"/>
      <c r="AQ191" s="38"/>
      <c r="AR191" s="38"/>
      <c r="AS191" s="38"/>
      <c r="AT191" s="38"/>
      <c r="AU191" s="74"/>
      <c r="AV191" s="70"/>
    </row>
    <row r="192" spans="1:48" x14ac:dyDescent="0.3">
      <c r="A192" s="7"/>
      <c r="B192" s="10"/>
      <c r="C192" s="10"/>
      <c r="D192" s="10"/>
      <c r="E192" s="10"/>
      <c r="F192" s="66"/>
      <c r="G192" s="59"/>
      <c r="H192" s="7"/>
      <c r="I192" s="7"/>
      <c r="J192" s="49"/>
      <c r="K192" s="7"/>
      <c r="L192" s="7"/>
      <c r="M192" s="7"/>
      <c r="N192" s="7"/>
      <c r="O192" s="7"/>
      <c r="P192" s="8"/>
      <c r="Q192" s="8"/>
      <c r="R192" s="7"/>
      <c r="S192" s="8"/>
      <c r="T192" s="7"/>
      <c r="U192" s="7"/>
      <c r="V192" s="7"/>
      <c r="W192" s="8"/>
      <c r="X192" s="8"/>
      <c r="Y192" s="7"/>
      <c r="Z192" s="7"/>
      <c r="AA192" s="7"/>
      <c r="AB192" s="7"/>
      <c r="AC192" s="7"/>
      <c r="AD192" s="7"/>
      <c r="AE192" s="9"/>
      <c r="AF192" s="7"/>
      <c r="AG192" s="8"/>
      <c r="AH192" s="7"/>
      <c r="AI192" s="8"/>
      <c r="AJ192" s="7"/>
      <c r="AK192" s="7"/>
      <c r="AL192" s="8"/>
      <c r="AM192" s="7"/>
      <c r="AN192" s="7"/>
      <c r="AO192" s="8"/>
      <c r="AP192" s="8"/>
      <c r="AQ192" s="7"/>
      <c r="AR192" s="7"/>
      <c r="AS192" s="7"/>
      <c r="AT192" s="7"/>
      <c r="AU192" s="69"/>
      <c r="AV192" s="76"/>
    </row>
    <row r="193" spans="1:48" x14ac:dyDescent="0.3">
      <c r="A193" s="7"/>
      <c r="B193" s="7"/>
      <c r="C193" s="7"/>
      <c r="D193" s="7"/>
      <c r="E193" s="7"/>
      <c r="F193" s="66"/>
      <c r="G193" s="59"/>
      <c r="H193" s="7"/>
      <c r="I193" s="7"/>
      <c r="J193" s="49"/>
      <c r="K193" s="7"/>
      <c r="L193" s="7"/>
      <c r="M193" s="7"/>
      <c r="N193" s="7"/>
      <c r="O193" s="7"/>
      <c r="P193" s="8"/>
      <c r="Q193" s="8"/>
      <c r="R193" s="7"/>
      <c r="S193" s="8"/>
      <c r="T193" s="7"/>
      <c r="U193" s="7"/>
      <c r="V193" s="7"/>
      <c r="W193" s="8"/>
      <c r="X193" s="8"/>
      <c r="Y193" s="7"/>
      <c r="Z193" s="7"/>
      <c r="AA193" s="7"/>
      <c r="AB193" s="7"/>
      <c r="AC193" s="7"/>
      <c r="AD193" s="7"/>
      <c r="AE193" s="9"/>
      <c r="AF193" s="7"/>
      <c r="AG193" s="8"/>
      <c r="AH193" s="7"/>
      <c r="AI193" s="8"/>
      <c r="AJ193" s="7"/>
      <c r="AK193" s="7"/>
      <c r="AL193" s="8"/>
      <c r="AM193" s="7"/>
      <c r="AN193" s="7"/>
      <c r="AO193" s="8"/>
      <c r="AP193" s="8"/>
      <c r="AQ193" s="7"/>
      <c r="AR193" s="7"/>
      <c r="AS193" s="7"/>
      <c r="AT193" s="7"/>
      <c r="AU193" s="69"/>
      <c r="AV193" s="76"/>
    </row>
    <row r="194" spans="1:48" x14ac:dyDescent="0.3">
      <c r="A194" s="7"/>
      <c r="B194" s="7"/>
      <c r="C194" s="7"/>
      <c r="D194" s="7"/>
      <c r="E194" s="7"/>
      <c r="F194" s="66"/>
      <c r="G194" s="59"/>
      <c r="H194" s="7"/>
      <c r="I194" s="7"/>
      <c r="J194" s="49"/>
      <c r="K194" s="7"/>
      <c r="L194" s="7"/>
      <c r="M194" s="7"/>
      <c r="N194" s="7"/>
      <c r="O194" s="7"/>
      <c r="P194" s="8"/>
      <c r="Q194" s="8"/>
      <c r="R194" s="7"/>
      <c r="S194" s="8"/>
      <c r="T194" s="7"/>
      <c r="U194" s="7"/>
      <c r="V194" s="7"/>
      <c r="W194" s="8"/>
      <c r="X194" s="8"/>
      <c r="Y194" s="7"/>
      <c r="Z194" s="7"/>
      <c r="AA194" s="7"/>
      <c r="AB194" s="7"/>
      <c r="AC194" s="7"/>
      <c r="AD194" s="7"/>
      <c r="AE194" s="9"/>
      <c r="AF194" s="7"/>
      <c r="AG194" s="8"/>
      <c r="AH194" s="7"/>
      <c r="AI194" s="8"/>
      <c r="AJ194" s="7"/>
      <c r="AK194" s="7"/>
      <c r="AL194" s="8"/>
      <c r="AM194" s="7"/>
      <c r="AN194" s="7"/>
      <c r="AO194" s="8"/>
      <c r="AP194" s="8"/>
      <c r="AQ194" s="7"/>
      <c r="AR194" s="7"/>
      <c r="AS194" s="7"/>
      <c r="AT194" s="7"/>
      <c r="AU194" s="69"/>
      <c r="AV194" s="76"/>
    </row>
    <row r="195" spans="1:48" x14ac:dyDescent="0.3">
      <c r="A195" s="7"/>
      <c r="B195" s="7" t="s">
        <v>335</v>
      </c>
      <c r="C195" s="7"/>
      <c r="D195" s="7"/>
      <c r="E195" s="7"/>
      <c r="F195" s="66"/>
      <c r="G195" s="59"/>
      <c r="H195" s="7"/>
      <c r="I195" s="7"/>
      <c r="J195" s="49"/>
      <c r="K195" s="7"/>
      <c r="L195" s="7"/>
      <c r="M195" s="7"/>
      <c r="N195" s="7"/>
      <c r="O195" s="7"/>
      <c r="P195" s="8"/>
      <c r="Q195" s="8"/>
      <c r="R195" s="7"/>
      <c r="S195" s="8"/>
      <c r="T195" s="7"/>
      <c r="U195" s="7"/>
      <c r="V195" s="7"/>
      <c r="W195" s="8"/>
      <c r="X195" s="8"/>
      <c r="Y195" s="7"/>
      <c r="Z195" s="7"/>
      <c r="AA195" s="7"/>
      <c r="AB195" s="7"/>
      <c r="AC195" s="7"/>
      <c r="AD195" s="7"/>
      <c r="AE195" s="9"/>
      <c r="AF195" s="7"/>
      <c r="AG195" s="8"/>
      <c r="AH195" s="7"/>
      <c r="AI195" s="8"/>
      <c r="AJ195" s="7"/>
      <c r="AK195" s="7"/>
      <c r="AL195" s="8"/>
      <c r="AM195" s="7"/>
      <c r="AN195" s="7"/>
      <c r="AO195" s="8"/>
      <c r="AP195" s="8"/>
      <c r="AQ195" s="7"/>
      <c r="AR195" s="7"/>
      <c r="AS195" s="7"/>
      <c r="AT195" s="7"/>
      <c r="AU195" s="69"/>
      <c r="AV195" s="76"/>
    </row>
    <row r="196" spans="1:48" x14ac:dyDescent="0.3">
      <c r="A196" s="7"/>
      <c r="B196" s="7"/>
      <c r="C196" s="7"/>
      <c r="D196" s="7"/>
      <c r="E196" s="7"/>
      <c r="F196" s="66"/>
      <c r="G196" s="59"/>
      <c r="H196" s="7"/>
      <c r="I196" s="7"/>
      <c r="J196" s="49"/>
      <c r="K196" s="7"/>
      <c r="L196" s="7"/>
      <c r="M196" s="7"/>
      <c r="N196" s="7"/>
      <c r="O196" s="7"/>
      <c r="P196" s="8"/>
      <c r="Q196" s="8"/>
      <c r="R196" s="7"/>
      <c r="S196" s="8"/>
      <c r="T196" s="7"/>
      <c r="U196" s="7"/>
      <c r="V196" s="7"/>
      <c r="W196" s="8"/>
      <c r="X196" s="8"/>
      <c r="Y196" s="7"/>
      <c r="Z196" s="7"/>
      <c r="AA196" s="7"/>
      <c r="AB196" s="7"/>
      <c r="AC196" s="7"/>
      <c r="AD196" s="7"/>
      <c r="AE196" s="9"/>
      <c r="AF196" s="7"/>
      <c r="AG196" s="8"/>
      <c r="AH196" s="7"/>
      <c r="AI196" s="8"/>
      <c r="AJ196" s="7"/>
      <c r="AK196" s="7"/>
      <c r="AL196" s="8"/>
      <c r="AM196" s="7"/>
      <c r="AN196" s="7"/>
      <c r="AO196" s="8"/>
      <c r="AP196" s="8"/>
      <c r="AQ196" s="7"/>
      <c r="AR196" s="7"/>
      <c r="AS196" s="7"/>
      <c r="AT196" s="7"/>
      <c r="AU196" s="69"/>
      <c r="AV196" s="76"/>
    </row>
    <row r="197" spans="1:48" x14ac:dyDescent="0.3">
      <c r="A197" s="7"/>
      <c r="B197" s="7"/>
      <c r="C197" s="7"/>
      <c r="D197" s="7"/>
      <c r="E197" s="7"/>
      <c r="F197" s="66"/>
      <c r="G197" s="59"/>
      <c r="H197" s="7"/>
      <c r="I197" s="7"/>
      <c r="J197" s="49"/>
      <c r="K197" s="7"/>
      <c r="L197" s="7"/>
      <c r="M197" s="7"/>
      <c r="N197" s="7"/>
      <c r="O197" s="7"/>
      <c r="P197" s="8"/>
      <c r="Q197" s="8"/>
      <c r="R197" s="7"/>
      <c r="S197" s="8"/>
      <c r="T197" s="7"/>
      <c r="U197" s="7"/>
      <c r="V197" s="7"/>
      <c r="W197" s="8"/>
      <c r="X197" s="8"/>
      <c r="Y197" s="7"/>
      <c r="Z197" s="7"/>
      <c r="AA197" s="7"/>
      <c r="AB197" s="7"/>
      <c r="AC197" s="7"/>
      <c r="AD197" s="7"/>
      <c r="AE197" s="9"/>
      <c r="AF197" s="7"/>
      <c r="AG197" s="8"/>
      <c r="AH197" s="7"/>
      <c r="AI197" s="8"/>
      <c r="AJ197" s="7"/>
      <c r="AK197" s="7"/>
      <c r="AL197" s="8"/>
      <c r="AM197" s="7"/>
      <c r="AN197" s="7"/>
      <c r="AO197" s="8"/>
      <c r="AP197" s="8"/>
      <c r="AQ197" s="7"/>
      <c r="AR197" s="7"/>
      <c r="AS197" s="7"/>
      <c r="AT197" s="7"/>
      <c r="AU197" s="69"/>
      <c r="AV197" s="76"/>
    </row>
    <row r="198" spans="1:48" x14ac:dyDescent="0.3">
      <c r="A198" s="7"/>
      <c r="I198" s="7"/>
      <c r="J198" s="49"/>
      <c r="K198" s="7"/>
      <c r="L198" s="7"/>
      <c r="M198" s="7"/>
      <c r="N198" s="7"/>
      <c r="O198" s="7"/>
      <c r="P198" s="8"/>
      <c r="Q198" s="8"/>
      <c r="R198" s="7"/>
      <c r="S198" s="8"/>
      <c r="T198" s="7"/>
      <c r="U198" s="7"/>
      <c r="V198" s="7"/>
      <c r="W198" s="8"/>
      <c r="X198" s="8"/>
      <c r="Y198" s="7"/>
      <c r="Z198" s="7"/>
      <c r="AA198" s="7"/>
      <c r="AB198" s="7"/>
      <c r="AC198" s="7"/>
      <c r="AD198" s="7"/>
      <c r="AE198" s="9"/>
      <c r="AF198" s="7"/>
      <c r="AG198" s="8"/>
      <c r="AH198" s="7"/>
      <c r="AI198" s="8"/>
      <c r="AJ198" s="7"/>
      <c r="AK198" s="7"/>
      <c r="AL198" s="8"/>
      <c r="AM198" s="7"/>
      <c r="AN198" s="7"/>
      <c r="AO198" s="8"/>
      <c r="AP198" s="8"/>
      <c r="AQ198" s="7"/>
      <c r="AR198" s="7"/>
      <c r="AS198" s="7"/>
      <c r="AT198" s="7"/>
      <c r="AU198" s="69"/>
      <c r="AV198" s="76"/>
    </row>
  </sheetData>
  <autoFilter ref="A8:AX190" xr:uid="{DBA585A1-C706-46F1-B6FE-61740D4F67D1}"/>
  <mergeCells count="16">
    <mergeCell ref="AV6:AV7"/>
    <mergeCell ref="A4:AP4"/>
    <mergeCell ref="AF6:AG6"/>
    <mergeCell ref="AJ6:AL6"/>
    <mergeCell ref="AD6:AE6"/>
    <mergeCell ref="AM6:AM7"/>
    <mergeCell ref="C6:E6"/>
    <mergeCell ref="A6:A7"/>
    <mergeCell ref="B6:B7"/>
    <mergeCell ref="AQ6:AQ7"/>
    <mergeCell ref="AR6:AR7"/>
    <mergeCell ref="AU6:AU7"/>
    <mergeCell ref="AN6:AP6"/>
    <mergeCell ref="A5:AP5"/>
    <mergeCell ref="AS6:AT6"/>
    <mergeCell ref="AH6:AI6"/>
  </mergeCells>
  <pageMargins left="0.19685039370078741" right="0" top="0.35433070866141736" bottom="0.35433070866141736" header="0.31496062992125984" footer="0.31496062992125984"/>
  <pageSetup paperSize="9" scale="84" fitToHeight="0" orientation="landscape" r:id="rId1"/>
  <ignoredErrors>
    <ignoredError sqref="J19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Головнин Алексей Евгеньевич</dc:creator>
  <cp:lastModifiedBy>260124</cp:lastModifiedBy>
  <cp:lastPrinted>2025-11-20T06:01:03Z</cp:lastPrinted>
  <dcterms:created xsi:type="dcterms:W3CDTF">2025-08-18T09:45:48Z</dcterms:created>
  <dcterms:modified xsi:type="dcterms:W3CDTF">2025-11-26T11:50:05Z</dcterms:modified>
</cp:coreProperties>
</file>