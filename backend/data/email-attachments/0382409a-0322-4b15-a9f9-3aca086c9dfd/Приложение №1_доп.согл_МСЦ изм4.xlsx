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Сергей\Desktop\Работа\1. Объекты\6. Объект г.Пермь\3. ОВ_МСЦ (доп.работы)\"/>
    </mc:Choice>
  </mc:AlternateContent>
  <xr:revisionPtr revIDLastSave="0" documentId="13_ncr:1_{78C3D057-14A4-4544-8FCE-F40FF46F5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риложение к Доп_соглашению" sheetId="2" r:id="rId1"/>
  </sheets>
  <definedNames>
    <definedName name="_xlnm._FilterDatabase" localSheetId="0" hidden="1">'Приложение к Доп_соглашению'!$A$3:$G$469</definedName>
    <definedName name="_xlnm.Print_Area" localSheetId="0">'Приложение к Доп_соглашению'!$A$1:$G$478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6" i="2" l="1"/>
  <c r="G463" i="2"/>
  <c r="G442" i="2" l="1"/>
  <c r="G292" i="2" l="1"/>
  <c r="G462" i="2" l="1"/>
  <c r="G461" i="2"/>
  <c r="G460" i="2"/>
  <c r="E425" i="2"/>
  <c r="E436" i="2"/>
  <c r="G435" i="2"/>
  <c r="G424" i="2"/>
  <c r="G434" i="2"/>
  <c r="G423" i="2"/>
  <c r="E416" i="2"/>
  <c r="G401" i="2"/>
  <c r="G398" i="2"/>
  <c r="G395" i="2"/>
  <c r="G388" i="2"/>
  <c r="G415" i="2"/>
  <c r="G416" i="2" l="1"/>
  <c r="G466" i="2"/>
  <c r="G402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355" i="2"/>
  <c r="G438" i="2"/>
  <c r="G437" i="2"/>
  <c r="G433" i="2"/>
  <c r="G432" i="2"/>
  <c r="G431" i="2"/>
  <c r="G430" i="2"/>
  <c r="G429" i="2"/>
  <c r="G428" i="2"/>
  <c r="G427" i="2"/>
  <c r="G422" i="2"/>
  <c r="G421" i="2"/>
  <c r="G420" i="2"/>
  <c r="G419" i="2"/>
  <c r="G414" i="2"/>
  <c r="G413" i="2"/>
  <c r="G412" i="2"/>
  <c r="G411" i="2"/>
  <c r="G410" i="2"/>
  <c r="G409" i="2"/>
  <c r="G408" i="2"/>
  <c r="G407" i="2"/>
  <c r="G406" i="2"/>
  <c r="G405" i="2"/>
  <c r="G404" i="2"/>
  <c r="G400" i="2"/>
  <c r="G399" i="2"/>
  <c r="G397" i="2"/>
  <c r="G394" i="2"/>
  <c r="G393" i="2"/>
  <c r="G392" i="2"/>
  <c r="G391" i="2"/>
  <c r="G390" i="2"/>
  <c r="G389" i="2"/>
  <c r="G387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455" i="2"/>
  <c r="G453" i="2"/>
  <c r="G451" i="2"/>
  <c r="G450" i="2"/>
  <c r="G449" i="2"/>
  <c r="G448" i="2"/>
  <c r="G447" i="2"/>
  <c r="G446" i="2"/>
  <c r="G445" i="2"/>
  <c r="G444" i="2"/>
  <c r="G443" i="2"/>
  <c r="G456" i="2"/>
  <c r="E454" i="2"/>
  <c r="G436" i="2"/>
  <c r="G425" i="2"/>
  <c r="E417" i="2"/>
  <c r="E396" i="2"/>
  <c r="G396" i="2" l="1"/>
  <c r="G417" i="2"/>
  <c r="G454" i="2"/>
  <c r="G458" i="2" s="1"/>
  <c r="G439" i="2"/>
  <c r="G248" i="2"/>
  <c r="G247" i="2"/>
  <c r="G356" i="2"/>
  <c r="G457" i="2"/>
  <c r="G357" i="2"/>
  <c r="G440" i="2" l="1"/>
  <c r="G465" i="2" s="1"/>
  <c r="G464" i="2"/>
  <c r="G467" i="2" l="1"/>
</calcChain>
</file>

<file path=xl/sharedStrings.xml><?xml version="1.0" encoding="utf-8"?>
<sst xmlns="http://schemas.openxmlformats.org/spreadsheetml/2006/main" count="1022" uniqueCount="374">
  <si>
    <t>№ п/п</t>
  </si>
  <si>
    <t>Ед. изм.</t>
  </si>
  <si>
    <t>Наименование работ и оборудования</t>
  </si>
  <si>
    <t>Кол-во</t>
  </si>
  <si>
    <t>Итого стоимость оборудования составит:</t>
  </si>
  <si>
    <t>Итого стоимость монтажных работ составит:</t>
  </si>
  <si>
    <t>Вентиляция</t>
  </si>
  <si>
    <t>Кондиционирование</t>
  </si>
  <si>
    <t>Шкаф управления для установки ПВ2</t>
  </si>
  <si>
    <t>Шкаф управления для установки В4</t>
  </si>
  <si>
    <t>Шкаф управления для установки П6</t>
  </si>
  <si>
    <t>Шкаф управления для установки В7</t>
  </si>
  <si>
    <t>Шкаф управления для установки В9</t>
  </si>
  <si>
    <t>Шкаф управления для установки В15</t>
  </si>
  <si>
    <t>Шкаф управления для установки В16</t>
  </si>
  <si>
    <t>Шкаф управления для установки В20</t>
  </si>
  <si>
    <t>Шкаф управления для установки В23</t>
  </si>
  <si>
    <t>Шкаф управления для установки ДУ3</t>
  </si>
  <si>
    <t>№ системы</t>
  </si>
  <si>
    <t>ПВ2</t>
  </si>
  <si>
    <t>Шт.</t>
  </si>
  <si>
    <t>В4</t>
  </si>
  <si>
    <t>П6</t>
  </si>
  <si>
    <t>В7</t>
  </si>
  <si>
    <t>В9</t>
  </si>
  <si>
    <t>В15</t>
  </si>
  <si>
    <t>В16</t>
  </si>
  <si>
    <t>В20</t>
  </si>
  <si>
    <t>В21</t>
  </si>
  <si>
    <t>В23</t>
  </si>
  <si>
    <t>ДУ3</t>
  </si>
  <si>
    <t>ДУ5</t>
  </si>
  <si>
    <t>Шкаф управления для установки ДУ5</t>
  </si>
  <si>
    <t>Монтаж каркасной установки</t>
  </si>
  <si>
    <t xml:space="preserve">Монтаж шкафа управления </t>
  </si>
  <si>
    <t>Монтаж стакана</t>
  </si>
  <si>
    <t>Монтаж радиального вентилятора</t>
  </si>
  <si>
    <t>Шкаф управления для установок МО1, МО1р</t>
  </si>
  <si>
    <t>Пусконаладочные работы системы вентиляции</t>
  </si>
  <si>
    <t xml:space="preserve"> Противодымная вентиляция</t>
  </si>
  <si>
    <t>Пусконаладочные работы системы кондиционирования</t>
  </si>
  <si>
    <t>Пусконаладочные работы системы отопления</t>
  </si>
  <si>
    <t>Пусконаладочные работы</t>
  </si>
  <si>
    <t>Итого стоимость пусконаладочных работ составит:</t>
  </si>
  <si>
    <t>ПВ3</t>
  </si>
  <si>
    <t>Шкаф управления для установки ПВ3</t>
  </si>
  <si>
    <t>Монтаж канальной установки</t>
  </si>
  <si>
    <t>П4</t>
  </si>
  <si>
    <t>Шкаф управления для установки П4</t>
  </si>
  <si>
    <t>Монтаж каркасных установок</t>
  </si>
  <si>
    <t>В6</t>
  </si>
  <si>
    <t>Шкаф управления для установки В6</t>
  </si>
  <si>
    <t>Шкаф управления для установки П7</t>
  </si>
  <si>
    <t>П7</t>
  </si>
  <si>
    <t>Шкаф управления для установки П8/П8р</t>
  </si>
  <si>
    <t>П8/
П8р</t>
  </si>
  <si>
    <t>Шкаф управления для установки П9</t>
  </si>
  <si>
    <t>П9</t>
  </si>
  <si>
    <t>Шкаф управления для установки П10</t>
  </si>
  <si>
    <t>П10</t>
  </si>
  <si>
    <t>Шкаф управления для установки В10</t>
  </si>
  <si>
    <t>В10</t>
  </si>
  <si>
    <t>Шкаф управления для установки В11</t>
  </si>
  <si>
    <t>В11</t>
  </si>
  <si>
    <t>Шкаф управления для установки П11</t>
  </si>
  <si>
    <t>П11</t>
  </si>
  <si>
    <t xml:space="preserve">Монтаж крышного вентилятора </t>
  </si>
  <si>
    <t>Шкаф управления для установки В12</t>
  </si>
  <si>
    <t>В12</t>
  </si>
  <si>
    <t>Шкаф управления для установки П12</t>
  </si>
  <si>
    <t>П12</t>
  </si>
  <si>
    <t>Шкаф управления для установки ПВ25</t>
  </si>
  <si>
    <t>ПВ25</t>
  </si>
  <si>
    <t>Шкаф управления для установки ПВ26.1</t>
  </si>
  <si>
    <t>Шкаф управления для установки П26.2</t>
  </si>
  <si>
    <t>П26.2</t>
  </si>
  <si>
    <t>Шкаф управления для установок П27.1-П27.2</t>
  </si>
  <si>
    <t>П27.1-
П27.2</t>
  </si>
  <si>
    <t>Шкаф управления для установок П27.3-П27.5</t>
  </si>
  <si>
    <t>Шкаф управления для установок ПВ28.1-ПВ28.3</t>
  </si>
  <si>
    <t>В27.1-
В27.2</t>
  </si>
  <si>
    <t>Шкаф управления для установок В27.1-В27.2</t>
  </si>
  <si>
    <t>Шкаф управления для установки П30</t>
  </si>
  <si>
    <t>П30</t>
  </si>
  <si>
    <t>Шкаф управления для установки П31</t>
  </si>
  <si>
    <t>П31</t>
  </si>
  <si>
    <t>П32</t>
  </si>
  <si>
    <t>Шкаф управления для установки П32</t>
  </si>
  <si>
    <t>Шкаф управления для установки П33</t>
  </si>
  <si>
    <t>П33</t>
  </si>
  <si>
    <t>Шкаф управления для установки В14</t>
  </si>
  <si>
    <t>В14</t>
  </si>
  <si>
    <t>Шкаф управления для установки П15</t>
  </si>
  <si>
    <t>П15</t>
  </si>
  <si>
    <t>П16</t>
  </si>
  <si>
    <t>Шкаф управления для установки П16</t>
  </si>
  <si>
    <t>Шкаф управления для установки В5</t>
  </si>
  <si>
    <t>В5</t>
  </si>
  <si>
    <t>Шкаф управления для установки В8</t>
  </si>
  <si>
    <t>В8</t>
  </si>
  <si>
    <t>Шкаф управления для установки В18</t>
  </si>
  <si>
    <t>В18</t>
  </si>
  <si>
    <t>Шкаф управления для установки В19</t>
  </si>
  <si>
    <t>В19</t>
  </si>
  <si>
    <t>Шкаф управления для установки В21</t>
  </si>
  <si>
    <t>Шкаф управления для установок В22, В22р</t>
  </si>
  <si>
    <t>В22/
В22р</t>
  </si>
  <si>
    <t>Шкаф управления для установки В25</t>
  </si>
  <si>
    <t>В25</t>
  </si>
  <si>
    <t>МО1,
МО1р</t>
  </si>
  <si>
    <t>Монтаж канального вытяжного вентилятора</t>
  </si>
  <si>
    <t>Шкаф управления для установки МО2</t>
  </si>
  <si>
    <t>МО2</t>
  </si>
  <si>
    <t>Шкаф управления для установки МО3</t>
  </si>
  <si>
    <t>МО3</t>
  </si>
  <si>
    <t>ФВУ1</t>
  </si>
  <si>
    <t>Монтаж фильтра</t>
  </si>
  <si>
    <t>Монтаж вентилятора высокого давления</t>
  </si>
  <si>
    <t>ФВУ2</t>
  </si>
  <si>
    <t>ФВУ5</t>
  </si>
  <si>
    <t>ФВУ8</t>
  </si>
  <si>
    <t>Подставка для фильтров ПФ-НМСФ-200/2х160</t>
  </si>
  <si>
    <t>Монтаж подставки для фильтров</t>
  </si>
  <si>
    <t>Монтаж навесного механического самоочищающегося фильтра</t>
  </si>
  <si>
    <t>ДУ1.1</t>
  </si>
  <si>
    <t>Шкаф управления для установки ДУ1.1</t>
  </si>
  <si>
    <t>ДУ1.2</t>
  </si>
  <si>
    <t>Шкаф управления для установки ДУ1.2</t>
  </si>
  <si>
    <t>Шкаф управления для установки ДУ1.3</t>
  </si>
  <si>
    <t>ДУ1.3</t>
  </si>
  <si>
    <t>Шкаф управления для установки ДУ1.4</t>
  </si>
  <si>
    <t>ДУ1.4</t>
  </si>
  <si>
    <t>Шкаф управления для установки ДУ1.5</t>
  </si>
  <si>
    <t>ДУ1.5</t>
  </si>
  <si>
    <t>Шкаф управления для установки ДУ1.6</t>
  </si>
  <si>
    <t>ДУ1.6</t>
  </si>
  <si>
    <t>Шкаф управления для установки ДУ1.7</t>
  </si>
  <si>
    <t>ДУ1.7</t>
  </si>
  <si>
    <t>Шкаф управления для установки ДУ2</t>
  </si>
  <si>
    <t>ДУ2</t>
  </si>
  <si>
    <t>Шкаф управления для установки ДУ4</t>
  </si>
  <si>
    <t>ДУ4</t>
  </si>
  <si>
    <t>Шкаф управления для установки ПД1.1</t>
  </si>
  <si>
    <t>ПД1.1</t>
  </si>
  <si>
    <t>Шкаф управления для установки ПД1.2</t>
  </si>
  <si>
    <t>ПД1.2</t>
  </si>
  <si>
    <t>Шкаф управления для установки ПД1.3</t>
  </si>
  <si>
    <t>ПД1.3</t>
  </si>
  <si>
    <t>ПД1.4, ПД1.5</t>
  </si>
  <si>
    <t>Шкаф управления для установки ПД1.6</t>
  </si>
  <si>
    <t>ПД1.6</t>
  </si>
  <si>
    <t>Шкаф управления для установки ПД1.7</t>
  </si>
  <si>
    <t>ПД1.7</t>
  </si>
  <si>
    <t>Шкаф управления для установки ПД5</t>
  </si>
  <si>
    <t>ПД5</t>
  </si>
  <si>
    <t>К1</t>
  </si>
  <si>
    <t>К2</t>
  </si>
  <si>
    <t>К3</t>
  </si>
  <si>
    <t>Монтаж смесительных узлов для приточно-вытяжных установок</t>
  </si>
  <si>
    <t>Монтаж смесительных узлов для приточных установок</t>
  </si>
  <si>
    <t>ПВ1.1-
ПВ1.7</t>
  </si>
  <si>
    <t>Монтаж шкафов управления</t>
  </si>
  <si>
    <t>Каркасная установка приточно-вытяжная с рекуперацией.
Левое исполнение
L-6140м3/ч; P-500Па;
В составе: Воздушный клапан утепленный; Фильтр грубой очистки G4; Водяной воздухонагреватель; Воздухоохладитель; Пластинчатый рекуператор; Вентилятор</t>
  </si>
  <si>
    <t>Каркасная установка приточно-вытяжная с рекуперацией
Правое исполнение
Приток: L-8515м3/ч; P-500Па;
Вытяжка: L-7730м3/ч; P-500Па;
В составе: Воздушный клапан утепленный; Фильтр грубой очистки G4; Водяной воздухонагреватель; Воздухоохладитель; Пластинчатый рекуператор; Вентилятор</t>
  </si>
  <si>
    <t>Канальная установка приточная
Приток: L-715м3/ч; P-200Па;
В составе: Воздушный клапан утепленный; Секция рециркуляции; Фильтр грубой очистки G4; Вентилятор</t>
  </si>
  <si>
    <t>Канальная установка вытяжная
L-715м3/ч; P-200Па;
В составе: Воздушный клапан; Вентилятор</t>
  </si>
  <si>
    <t>Каркасная установка приточно-вытяжная с рекуперацией
Левое исполнение
Приток: L-5900м3/ч; P-400Па;
Вытяжка: L-3800м3/ч; P-400Па;
В составе: Воздушный клапан утепленный; Фильтр грубой очистки G4 Водяной воздухонагреватель; Пластинчатый рекуператор; Вентилятор</t>
  </si>
  <si>
    <t>Монтаж шкафа управления</t>
  </si>
  <si>
    <t>Канальная установка вытяжная
L-1140м3/ч; P-300Па;
В составе: Воздушный клапан; Вентилятор.</t>
  </si>
  <si>
    <t>Канальная установка приточная. Левое исполнение
L-70м3/ч; P-150Па;
В составе: Воздушный клапан; Фильтр грубой очистки G4; Водяной воздухонагреватель; Вентилятор</t>
  </si>
  <si>
    <t>Каркасная установка приточная с резервным вентилятором.
Левое исполнение
L-21535м3/ч; P-300Па;
В составе: Воздушный клапан утепленный; Фильтр грубой очистки G4; Водяной воздухонагреватель; Вентилятор</t>
  </si>
  <si>
    <t>Канальная установка приточная . Левое исполнение
L-1150 м3/ч; P-350 Па;
В составе: Воздушный клапан утепленный; Фильтр грубой очистки G4; Водяной воздухонагреватель; Вентилятор</t>
  </si>
  <si>
    <t>Канальная установка вытяжная
L-1155м3/ч; P-350Па;
В составе: Воздушный клапан; Вентилятор</t>
  </si>
  <si>
    <t>Канальная установка приточная
L-500м3/ч; P-250Па;
В составе: Воздушный клапан утепленный; Вентилятор;</t>
  </si>
  <si>
    <t>Крышный вентилятор вытяжной в комплекте с монтажным
стаканом
L-205м3/ч; P-250Па;</t>
  </si>
  <si>
    <t>Канальная установка вытяжная
L-765м3/ч; P-250Па;
В составе: Воздушный клапан; Вентилятор</t>
  </si>
  <si>
    <t>Канальная установка приточно. Левое исполнение
L-765м3/ч; P-250Па;
В составе: Воздушный клапан утепленный; Фильтр грубой очистки G4; Водяной воздухонагреватель; Вентилятор</t>
  </si>
  <si>
    <t>Крышный вентилятор вытяжной в комплекте с монтажным
стаканом
L-1530м3/ч; P-400Па;</t>
  </si>
  <si>
    <t>Каркасная установка приточная. Левое исполнение
L-18950м3/ч; P-700Па;
В составе: Воздушный клапан утепленный; Фильтр грубой очистки G4; Водяной воздухонагреватель; Воздухоохладитель; Вентилятор</t>
  </si>
  <si>
    <t>Каркасная установка приточная. Правое исполнение
L-16680м3/ч; P-700Па;
В составе: Воздушный клапан утепленный; Фильтр грубой очистки G4; Водяной воздухонагреватель; Воздухоохладитель; Вентилятор</t>
  </si>
  <si>
    <t>Шкафы управления для установки П14; П17; П18; П19</t>
  </si>
  <si>
    <t>П14, П17, П18, П19</t>
  </si>
  <si>
    <t>Каркасная установка приточно-вытяжная с рециркуляцией.
Левое исполнение
Lлето/зима - 4100/420 м3/ч; P-500Па;
В составе: Воздушный клапан утепленный; Секция рециркуляции; Фильтр грубой очистки G4; Воздухоохладитель; Вентилятор</t>
  </si>
  <si>
    <t>Каркасная установка приточно-вытяжная с рециркуляцией
Правое исполнение
Lлето/зима -9700/1900м3/ч; P-600Па;
В составе: Воздушный клапан утепленный; Секция рециркуляции; Фильтр грубой очистки G4; Воздухоохладитель; Вентилятор</t>
  </si>
  <si>
    <t>ПВ26.1</t>
  </si>
  <si>
    <t>Каркасная установка приточная . Левое исполнение
L-2300м3/ч; P-600Па;
В составе: Воздушный клапан утепленный; Фильтр грубой очистки G4; Воздухоохладитель; Вентилятор</t>
  </si>
  <si>
    <t>Каркасная установка приточная. Наружное исполнение.
Левое исполнение.
L-50000м3/ч; P-700Па;
В составе: Воздушный клапан; Фильтр грубой очистки G4; Воздухоохладитель; Вентилятор</t>
  </si>
  <si>
    <t>П27.3-П27.5</t>
  </si>
  <si>
    <t>ПВ28.1-
ПВ28.3</t>
  </si>
  <si>
    <t>Каркасная установка приточно-вытяжная с рециркуляцией.
Наружное исполнение. Левое исполнение.
L-58300м3/ч; P-700Па;
В составе: Воздушный клапан утепленный; Секция рециркуляции; Фильтр грубой очистки G4; Воздухоохладитель; Вентилятор</t>
  </si>
  <si>
    <t>Крышный вентилятор вытяжной в комплекте с монтажным
стаканом
L-26250м3/ч;
P-400Па;</t>
  </si>
  <si>
    <t>Монтаж крышных вентиляторов</t>
  </si>
  <si>
    <t>Монтаж стаканов</t>
  </si>
  <si>
    <t>Канальная установка приточная
Приток:
L-135м3/ч; P-200Па;
В составе: Воздушный клапан; Фильтр грубой очистки G4; Электрический воздухонагреватель; Вентилятор</t>
  </si>
  <si>
    <t>Канальная установка приточная
Приток: L-255м3/ч; P-200Па;
В составе: Воздушный клапан; Фильтр грубой очистки G4; Электрический воздухонагреватель; Вентилятор</t>
  </si>
  <si>
    <t>Канальная установка приточная
Приток: L-160м3/ч; P-200Па;
В составе: Воздушный клапан; Фильтр грубой очистки G4; Электрический воздухонагреватель; Вентилятор</t>
  </si>
  <si>
    <t>Канальная установка приточная
Приток: L-95м3/ч; P-200Па;
В составе: Воздушный клапан; Фильтр грубой очистки G4; Электрический воздухонагреватель; Вентилятор</t>
  </si>
  <si>
    <t>Каркасная установка приточно-вытяжная с рециркуляцией.
Наружное исполнение. Правое исполнение.
L-8420м3/ч; P-400Па;
В составе: Воздушный клапан утепленный; Секция рециркуляции; Фильтр грубой очистки G4; Воздухоохладитель; Вентилятор</t>
  </si>
  <si>
    <t>П34,
В26</t>
  </si>
  <si>
    <t>П13,
В13</t>
  </si>
  <si>
    <t>Каркасная установка приточно-вытяжная с рекуперацией.
Левое исполнение.
Приток: L-4575м3/ч; P-600Па;
Вытяжка: L-2360м3/ч; P-600Па;
В составе: Воздушный клапан утепленный; Фильтр грубой очистки G4; Фильтр тонкой очистки F5; Водяной воздухонагреватель; Пластинчатый рекуператор; Вентилятор</t>
  </si>
  <si>
    <t>Шкаф управления для установки П13,В13</t>
  </si>
  <si>
    <t>Шкаф управления для установки П34,В26</t>
  </si>
  <si>
    <t>Крышный вентилятор вытяжной в комплекте с монтажным
стаканом
L-730м3/ч; P-450Па;</t>
  </si>
  <si>
    <t>Канальная установка приточная. Левое исполнение.
L-700м3/ч; P-250Па;
В составе: Воздушный клапан утепленный; Фильтр грубой очистки G4; Фильтр тонкой очистки F5; Водяной воздухонагреватель; Воздухоохладитель; Вентилятор</t>
  </si>
  <si>
    <t>Канальная установка вытяжная
L-700м3/ч; P-250Па;
В составе: Воздушный клапан; Вентилятор</t>
  </si>
  <si>
    <t>Канальная установка приточная. Правое исполнение.
L-780м3/ч; P-300Па;
В составе: Воздушный клапан утепленный; Фильтр грубой очистки G4; Фильтр тонкой очистки F5; Водяной воздухонагреватель; Воздухоохладитель; Вентилятор</t>
  </si>
  <si>
    <t>Канальная установка вытяжная
L-480м3/ч; P-300Па;
В составе: Воздушный клапан; Вентилятор</t>
  </si>
  <si>
    <t>Крышный вентилятор вытяжной в комплекте с монтажным
стаканом L-210м3/ч; P-250Па;</t>
  </si>
  <si>
    <t>Канальная установка вытяжная
L-160м3/ч; P-200Па;
В составе: Воздушный клапан; Вентилятор</t>
  </si>
  <si>
    <t>Крышный вентилятор вытяжной в комплекте с монтажным
стаканом L-175м3/ч; P-200Па;</t>
  </si>
  <si>
    <t>Канальная установка вытяжная
L-880м3/ч; P-300Па;
В составе: Воздушный клапан; Вентилятор</t>
  </si>
  <si>
    <t>Канальная установка вытяжная
L-70м3/ч; P-150Па;
В составе: Воздушный клапан; Вентилятор;</t>
  </si>
  <si>
    <t>Канальная установка вытяжная
L-705м3/ч; P-250Па;
В составе: Воздушный клапан; Вентилятор;</t>
  </si>
  <si>
    <t>Канальная установка вытяжная
L-255м3/ч; P-250Па;
В составе: Воздушный клапан; Вентилятор;</t>
  </si>
  <si>
    <t>Радиальный вентилятор во взрывозащищённом исполнении в
комплекте с гибкими вставками
L-5580м3/ч; P-300Па;</t>
  </si>
  <si>
    <t>Монтаж радиальных вентиляторов</t>
  </si>
  <si>
    <t>Канальная установка вытяжная
L-5450м3/ч; P-250Па;
В составе: Воздушный клапан; Вентилятор</t>
  </si>
  <si>
    <t>Канальная установка вытяжная
L-135м3/ч; P-250Па;
В составе: Воздушный клапан; Вентилятор</t>
  </si>
  <si>
    <t>Фильтр масляного тумана МЕ-31 МЕ-31 FTEV-470</t>
  </si>
  <si>
    <t>Вентилятор высоко давления FTEV-470, 2.2 кВт 3/380
L-1530м3/ч; P-700Па;</t>
  </si>
  <si>
    <t>Модульный самоочищающиеся 10-ти кассетный фильтр
MDB-10V-T12 MDB-10V-T12 SIF-1800</t>
  </si>
  <si>
    <t>Монтаж модуля самоочистки</t>
  </si>
  <si>
    <t>Радиальный вентилятор SIF-1800 Л0
L-10685м3/ч; P-2100Па;</t>
  </si>
  <si>
    <t>ФВУ4.1
-
ФВУ4.5</t>
  </si>
  <si>
    <t>Фильтр масляного тумана МЕ-31                        ME-31 FTEV-470</t>
  </si>
  <si>
    <t>Фильтр масляного тумана МЕ-31                       ME-31 FTEV-470</t>
  </si>
  <si>
    <t>ФВУ6.1
-
ФВУ6.3</t>
  </si>
  <si>
    <t>ФВУ7.1;
ФВУ7.2</t>
  </si>
  <si>
    <t>Монтаж фильтров</t>
  </si>
  <si>
    <t>Монтаж вентиляторов высокого давления</t>
  </si>
  <si>
    <t>ФВУ10.1
ФВУ10.3</t>
  </si>
  <si>
    <t>Навесной механический самоочищающийся фильтр НМСФ-200-Т12
со встроенным вентилятором 4 кВт, 380В, 50 Гц, с 1-м патрубком
ф200 для подключения вытяжного устройства, 2-мя подвесными
пылесборниками 6 л
L-1800м3/ч; P-2100Па;</t>
  </si>
  <si>
    <t>Радиальный вентилятор во взрывозащищённом, коррозионностойком
исполнении в комплекте с гибкими вставками
L-14525м3/ч; P-450Па;</t>
  </si>
  <si>
    <t>Канальный вытяжной вентилятор
L-965м3/ч; P-300Па;</t>
  </si>
  <si>
    <t>Радиальный вентилятор в комплекте с гибкими вставками
L-9200м3/ч; P-400Па;</t>
  </si>
  <si>
    <t>Радиальный вентилятор во взрывозащищённом, коррозионностойком
исполнении в комплекте с гибкими вставками
L-7120м3/ч; P-450Па</t>
  </si>
  <si>
    <t>Шкаф управления для установки МО4</t>
  </si>
  <si>
    <t>м</t>
  </si>
  <si>
    <t>кг</t>
  </si>
  <si>
    <t>Шкаф управления для установок ПВ1.1-ПВ1.7</t>
  </si>
  <si>
    <t>П5, В17</t>
  </si>
  <si>
    <t>Шкаф управления для установки П5,В17</t>
  </si>
  <si>
    <t>Канальная установка приточная. Левое исполнение
L-1145м3/ч; P-300Па;
В составе: Воздушный клапан утепленный; Фильтр грубой очистки G4; Водяной воздухонагреватель; Вентилятор</t>
  </si>
  <si>
    <t>Каркасная установка приточно-вытяжная с рекуперацией. ПВ1.1-
ПВ1.3 - левое исполнение; ПВ1.4-ПВ1.7 - правое исполнение.
Приток: L-16680м3/ч; P-700Па;
Вытяжка: L-16050м3/ч; P-700Па;
В составе:
-Воздушный клапан утепленный; Фильтр грубой очистки G4; Водяной оздухонагреватель; Воздухоохладитель; Пластинчатый рекуператор; Вентилятор;</t>
  </si>
  <si>
    <t>МО4, МО5, М6,  МО7</t>
  </si>
  <si>
    <t>Вентилятор крышный дымоудаления
L-132440м3/ч;
P-750Па;</t>
  </si>
  <si>
    <t>В комплекте: Монтажный стакан утепленный, с противопожарным
нормально закрытым клапаном, с реверсивным приводом Belimo с
напряжением питания 220В</t>
  </si>
  <si>
    <t>Вентилятор крышный дымоудаления
L-55220м3/ч; P-500Па;</t>
  </si>
  <si>
    <t>Вентилятор крышный дымоудаления
L-118645м3/ч; P-710Па;</t>
  </si>
  <si>
    <t>Вентилятор крышный дымоудаления
L-92075м3/ч; P-620Па;</t>
  </si>
  <si>
    <t>Вентилятор крышный дымоудаления
L-90005м3/ч; P-615Па;</t>
  </si>
  <si>
    <t>Вентилятор крышный дымоудаления
L-79930м3/ч; P-580Па;</t>
  </si>
  <si>
    <t>Вентилятор крышный дымоудаления
L-82580м3/ч; P-590Па;</t>
  </si>
  <si>
    <t>Вентилятор крышный дымоудаления
L-14647м3/ч; P-300Па;</t>
  </si>
  <si>
    <t>Вентилятор крышный дымоудаления
L-13942м3/ч; P-300Па;</t>
  </si>
  <si>
    <t>Вентилятор крышный дымоудаления
L-15724м3/ч; P-300Па;</t>
  </si>
  <si>
    <t>Вентилятор крышный дымоудаления
L-70244м3/ч; P-300Па;</t>
  </si>
  <si>
    <t>Вентилятор крышный приточный в комплекте с монтажным
стаканом 
L-88698м3/ч; P-500Па;</t>
  </si>
  <si>
    <t>Вентилятор крышный приточный в комплекте с монтажным
стаканом
L-47926м3/ч; P-350Па;</t>
  </si>
  <si>
    <t>Вентилятор крышный приточный в комплекте с монтажным
стаканом
L-84730м3/ч; P-485Па;</t>
  </si>
  <si>
    <t>Вентилятор крышный приточный в комплекте с монтажным
стаканом
L-55524м3/ч; P-380Па;</t>
  </si>
  <si>
    <t>Шкаф управления для установки ПД1.4</t>
  </si>
  <si>
    <t>Вентилятор крышный приточный в комплекте с монтажным
стаканом
L-58262м3/ч; P-390Па;</t>
  </si>
  <si>
    <t>Вентилятор крышный приточный в комплекте с монтажным
стаканом
L-61932м3/ч; P-400Па;</t>
  </si>
  <si>
    <t>Вентилятор крышный приточный в комплекте с монтажным
стаканом
L-10022м3/ч; P-300Па;</t>
  </si>
  <si>
    <t>Шкаф управления для установки ПД2</t>
  </si>
  <si>
    <t>Вентилятор крышный приточный в комплекте с монтажным
стаканом
L-34046м3/ч; P-300Па;</t>
  </si>
  <si>
    <t>НБ ПВ1-
ПВ7</t>
  </si>
  <si>
    <t>Компрессорно-конденсаторный блок.
Холодопроизводительность 118,1 кВт</t>
  </si>
  <si>
    <t>Монтаж компрессорно-конденсаторных блоков</t>
  </si>
  <si>
    <t>НБ ПВ2</t>
  </si>
  <si>
    <t>Компрессорно-конденсаторный блок.
Холодопроизводительность 43,5 кВт</t>
  </si>
  <si>
    <t>Монтаж компрессорно-конденсаторного блока</t>
  </si>
  <si>
    <t>НБ ПВ3</t>
  </si>
  <si>
    <t>Компрессорно-конденсаторный блок.
Холодопроизводительность 60,3 кВт</t>
  </si>
  <si>
    <t>НБ П12</t>
  </si>
  <si>
    <t>Компрессорно-конденсаторный блок.
Холодопроизводительность 154,0 кВт</t>
  </si>
  <si>
    <t>НБ П14,
НБ П17,
НБ П18,
НБ П19</t>
  </si>
  <si>
    <t>Компрессорно-конденсаторный блок.
Холодопроизводительность 135,6 кВт</t>
  </si>
  <si>
    <t>НБ П15</t>
  </si>
  <si>
    <t>Компрессорно-конденсаторный блок.
Холодопроизводительность 4,1 кВт</t>
  </si>
  <si>
    <t>НБ П16</t>
  </si>
  <si>
    <t>Компрессорно-конденсаторный блок.
Холодопроизводительность 4,6 кВт</t>
  </si>
  <si>
    <t>НБ ПВ25</t>
  </si>
  <si>
    <t>Компрессорно-конденсаторный блок.
Холодопроизводительность 34,3 кВт</t>
  </si>
  <si>
    <t>НБ
ПВ26.1</t>
  </si>
  <si>
    <t>Компрессорно-конденсаторный блок.
Холодопроизводительность 81,2 кВт</t>
  </si>
  <si>
    <t>НБ П26.2</t>
  </si>
  <si>
    <t>Компрессорно-конденсаторный блок.
Холодопроизводительность 19,2 кВт</t>
  </si>
  <si>
    <t>НБ
П27.1-
П27.5</t>
  </si>
  <si>
    <t>Компрессорно-конденсаторный блок.
Холодопроизводительность 456,4 кВт</t>
  </si>
  <si>
    <t>НБ
П28.1-
П28.3</t>
  </si>
  <si>
    <t>Компрессорно-конденсаторный блок.
Холодопроизводительность 532,2 кВт</t>
  </si>
  <si>
    <t>Компрессорно-конденсаторный блок.
Холодопроизводительность 76,9 кВт</t>
  </si>
  <si>
    <t>НБ
П34, В26</t>
  </si>
  <si>
    <t>ВРВ-система, холодопроизводительность 72 кВт, в составе:</t>
  </si>
  <si>
    <t>Наружный блок, холодопроизводительность 72 кВт</t>
  </si>
  <si>
    <t>Монтаж наружного блока</t>
  </si>
  <si>
    <t>Внутренний блок кассетный, холодопроизводительность 5,0 кВт</t>
  </si>
  <si>
    <t>Внутренний блок кассетный, холодопроизводительность 3,0 кВт</t>
  </si>
  <si>
    <t>Внутренний блок кассетный, холодопроизводительность 4,0 кВт</t>
  </si>
  <si>
    <t>Внутренний блок кассетный, холодопроизводительность 3,5 кВт</t>
  </si>
  <si>
    <t>Внутренний блок кассетный, холодопроизводительность 5,5 кВт</t>
  </si>
  <si>
    <t>Монтаж внутренних блоков</t>
  </si>
  <si>
    <t>Комплект рефнетов</t>
  </si>
  <si>
    <t>компл</t>
  </si>
  <si>
    <t>Прецизионный кондиционер, с выносным конденсатором
- охлаждение - холодопроизводительность 7,0 кВт;
- увлажнение - пароувлажнитель производительностью 3 кг/ч;
- нагревание - электронагреватель мощностью 3,5 кВт
С комплектами зимнего запуска (до -40 ºС), с комплектом
автоматики.</t>
  </si>
  <si>
    <t>Монтаж прецизионного кондиционера</t>
  </si>
  <si>
    <t>Прецизионный кондиционер, с выносным конденсатором
- охлаждение - холодопроизводительность 7,5 кВт;
- увлажнение - пароувлажнитель производительностью 3 кг/ч;
- нагревание - электронагреватель мощностью 3,5 кВт
С комплектами зимнего запуска (до -40 ºС), с комплектом
автоматики.</t>
  </si>
  <si>
    <t>Трубы медные (фреонопроводы):</t>
  </si>
  <si>
    <t>Ø53,97 мм</t>
  </si>
  <si>
    <t>Ø6,35 мм</t>
  </si>
  <si>
    <t>Ø9,52 мм</t>
  </si>
  <si>
    <t>Ø12,7 мм</t>
  </si>
  <si>
    <t>Ø15,89 мм</t>
  </si>
  <si>
    <t>Ø19,05 мм</t>
  </si>
  <si>
    <t>Ø22,23 мм</t>
  </si>
  <si>
    <t>Ø28,57 мм</t>
  </si>
  <si>
    <t>Ø34,92 мм</t>
  </si>
  <si>
    <t>Ø31,8 мм</t>
  </si>
  <si>
    <t>Ø38,1 мм</t>
  </si>
  <si>
    <t>Монтаж изоляции</t>
  </si>
  <si>
    <t>Изоляция в трубках толщиной 19 мм для фреонопроводов:                 K- FLEX ST</t>
  </si>
  <si>
    <t>Изоляция в трубках толщиной 13 мм для фреонопроводов:                 K- FLEX ST</t>
  </si>
  <si>
    <t>Фреон R410А</t>
  </si>
  <si>
    <t>Заправка фреона</t>
  </si>
  <si>
    <t>В комплекте: Монтажный стакан утепленный, с противопожарным нормально закрытым клапаном, с реверсивным приводом Belimo с напряжением питания 220В</t>
  </si>
  <si>
    <t>ПД2, ПД3,ПД4</t>
  </si>
  <si>
    <t>Отопление и теплоснабжение</t>
  </si>
  <si>
    <t>Тепловентилятор с тепловой мощностью 50,8 кВт</t>
  </si>
  <si>
    <t>А1-А14</t>
  </si>
  <si>
    <t>Смесительный узел для тепловентилятора</t>
  </si>
  <si>
    <t>Монтаж тепловентиляторов</t>
  </si>
  <si>
    <t>Монтаж смесительных узлов</t>
  </si>
  <si>
    <t>Пульт управления для тепловентилятора</t>
  </si>
  <si>
    <t>Монтаж пультов управления для тепловентиляторов</t>
  </si>
  <si>
    <t>Воздушно-тепловая завеса (водяная) из 3-х блоков на проем
4200х4500(h) в комплекте со 
смесительным узлом (1 шт)
 и пультом управления (1 шт)</t>
  </si>
  <si>
    <t>У1, У2,
У3</t>
  </si>
  <si>
    <t>Монтаж воздушно-тепловой завесы</t>
  </si>
  <si>
    <t>У4, У5,
У6</t>
  </si>
  <si>
    <t>Воздушно-тепловая завеса (водяная) на проем 1300х2100(h) в
комплекте со
смесительным узлом (1 шт)
пультом управления (1шт)</t>
  </si>
  <si>
    <t>Узлы регулирования УР, поставляемые комплектно к вентсистеме:</t>
  </si>
  <si>
    <t>Стоимость монтажных работ Отопления и теплоснабжения</t>
  </si>
  <si>
    <t>Стоимость оборудования Отопления и теплоснабжения</t>
  </si>
  <si>
    <t>Стоимость оборудования Кондиционирования</t>
  </si>
  <si>
    <t>Стоимость монтажных работ Кондиционирования</t>
  </si>
  <si>
    <t>Стоимость оборудования Противодымной вентиляции</t>
  </si>
  <si>
    <t>Стоимость монтажных работ Противодымной вентиляции</t>
  </si>
  <si>
    <t>Стоимость оборудования Вентиляции</t>
  </si>
  <si>
    <t>Стоимость монтажных работ Вентиляции</t>
  </si>
  <si>
    <t>Монтаж трубы медной, рефнетов (фреонопроводов)</t>
  </si>
  <si>
    <t>Крепление фреонопроводов и кондиционеров</t>
  </si>
  <si>
    <t>Смесительный узел для приточно-вытяжной установки</t>
  </si>
  <si>
    <t>ПВ1.1-ПВ1.7, ПВ2, ПВ3, П5В17</t>
  </si>
  <si>
    <t xml:space="preserve">Смесительный узел для приточной установки </t>
  </si>
  <si>
    <t>П6, П7, П8/П8р,П9, П11, П12, П14, П17, П18, П19, П13, П15, П16</t>
  </si>
  <si>
    <t>Клей К414</t>
  </si>
  <si>
    <t>Лента самоклеящаяся шириной 15 мм ST</t>
  </si>
  <si>
    <t>Пусконаладочные работы системы противодымной вентиляции</t>
  </si>
  <si>
    <t>ВСЕГО с учетом НДС:</t>
  </si>
  <si>
    <t>Стоимость за ед. 
с НДС</t>
  </si>
  <si>
    <t>Стоимость итого 
с НДС</t>
  </si>
  <si>
    <t xml:space="preserve">Расчет цены договора
на выполнение работ по поставке, монтажу и пусконаладочным работам оборудования 
систем вентиляции, кондиционирования и отопления 4-этажного производственного здания (лит.БТ, БТ1, БТ2)  на объекте: 
«Строительство и реконструкция 2х цехов по производству и капитальному ремонту основной номенклатуры изделий» </t>
  </si>
  <si>
    <t>Приложние № 1
к дополнительному соглашению № 2 
                                                                                                 от "16" января 2026 г.                                                                                                                                                                                                                                                                       к договору № 163-ПР от «21» июля 2025 г</t>
  </si>
  <si>
    <t xml:space="preserve">Подписи Сторон: </t>
  </si>
  <si>
    <t xml:space="preserve">Заказчик: </t>
  </si>
  <si>
    <t xml:space="preserve">Генеральный директор </t>
  </si>
  <si>
    <t xml:space="preserve">ООО «ПРОФПОСТАВКА» </t>
  </si>
  <si>
    <t>_________________/ Сейранян Н.Б./</t>
  </si>
  <si>
    <t>Исполнитель:</t>
  </si>
  <si>
    <t xml:space="preserve">                 Генеральный директор</t>
  </si>
  <si>
    <t xml:space="preserve">        ООО «ПРИВОД»</t>
  </si>
  <si>
    <t xml:space="preserve">                                                __________________/Р.Р. Шигабутдинов/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</si>
</sst>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43" fontId="13" fillId="0" borderId="0" applyFont="0" applyFill="0" applyBorder="0" applyAlignment="0" applyProtection="0"/>
  </cellStyleXfs>
  <cellXfs count="8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43" fontId="1" fillId="0" borderId="0" xfId="2" applyFont="1" applyAlignment="1">
      <alignment horizontal="center" vertical="center"/>
    </xf>
    <xf numFmtId="43" fontId="3" fillId="0" borderId="1" xfId="2" applyFont="1" applyBorder="1" applyAlignment="1">
      <alignment horizontal="center" vertical="center" wrapText="1"/>
    </xf>
    <xf numFmtId="43" fontId="4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4" fillId="0" borderId="1" xfId="2" applyFont="1" applyFill="1" applyBorder="1" applyAlignment="1">
      <alignment horizontal="center" vertical="center" wrapText="1"/>
    </xf>
    <xf numFmtId="43" fontId="4" fillId="0" borderId="1" xfId="2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3" fontId="3" fillId="3" borderId="1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43" fontId="4" fillId="5" borderId="1" xfId="2" applyFont="1" applyFill="1" applyBorder="1" applyAlignment="1">
      <alignment horizontal="center" vertical="center" wrapText="1"/>
    </xf>
    <xf numFmtId="43" fontId="10" fillId="5" borderId="1" xfId="2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43" fontId="5" fillId="3" borderId="1" xfId="2" applyFont="1" applyFill="1" applyBorder="1" applyAlignment="1">
      <alignment vertical="center" wrapText="1"/>
    </xf>
    <xf numFmtId="43" fontId="5" fillId="3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2" applyFont="1" applyFill="1" applyBorder="1" applyAlignment="1">
      <alignment horizontal="left" vertical="center" wrapText="1"/>
    </xf>
    <xf numFmtId="43" fontId="2" fillId="3" borderId="1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3" fontId="2" fillId="0" borderId="1" xfId="2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43" fontId="3" fillId="5" borderId="1" xfId="2" applyFont="1" applyFill="1" applyBorder="1" applyAlignment="1">
      <alignment horizontal="left" vertical="center" wrapText="1"/>
    </xf>
    <xf numFmtId="43" fontId="3" fillId="5" borderId="1" xfId="2" applyFont="1" applyFill="1" applyBorder="1" applyAlignment="1">
      <alignment horizontal="center" vertical="center" wrapText="1"/>
    </xf>
    <xf numFmtId="43" fontId="2" fillId="5" borderId="1" xfId="2" applyFont="1" applyFill="1" applyBorder="1" applyAlignment="1">
      <alignment horizontal="left" vertical="center" wrapText="1"/>
    </xf>
    <xf numFmtId="43" fontId="2" fillId="5" borderId="1" xfId="2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43" fontId="2" fillId="6" borderId="1" xfId="2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43" fontId="5" fillId="7" borderId="1" xfId="2" applyFont="1" applyFill="1" applyBorder="1" applyAlignment="1">
      <alignment vertical="center" wrapText="1"/>
    </xf>
    <xf numFmtId="43" fontId="8" fillId="7" borderId="1" xfId="2" applyFont="1" applyFill="1" applyBorder="1" applyAlignment="1">
      <alignment horizontal="center" vertical="center" wrapText="1"/>
    </xf>
    <xf numFmtId="43" fontId="5" fillId="7" borderId="1" xfId="2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43" fontId="3" fillId="7" borderId="1" xfId="2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43" fontId="10" fillId="7" borderId="1" xfId="2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3" fontId="2" fillId="7" borderId="0" xfId="2" applyFont="1" applyFill="1" applyAlignment="1">
      <alignment horizontal="center" vertical="center"/>
    </xf>
    <xf numFmtId="43" fontId="2" fillId="6" borderId="1" xfId="2" applyFont="1" applyFill="1" applyBorder="1" applyAlignment="1">
      <alignment horizontal="center" vertical="center"/>
    </xf>
    <xf numFmtId="43" fontId="2" fillId="7" borderId="1" xfId="2" applyFont="1" applyFill="1" applyBorder="1" applyAlignment="1">
      <alignment horizontal="center" vertical="center"/>
    </xf>
    <xf numFmtId="43" fontId="2" fillId="7" borderId="1" xfId="2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71"/>
  <sheetViews>
    <sheetView tabSelected="1" view="pageBreakPreview" topLeftCell="B455" zoomScaleNormal="100" zoomScaleSheetLayoutView="100" zoomScalePageLayoutView="10" workbookViewId="0">
      <selection activeCell="G467" sqref="G467"/>
    </sheetView>
  </sheetViews>
  <sheetFormatPr defaultColWidth="9.109375" defaultRowHeight="32.25" customHeight="1" x14ac:dyDescent="0.3"/>
  <cols>
    <col min="1" max="1" width="6.5546875" style="18" customWidth="1"/>
    <col min="2" max="2" width="10.33203125" style="2" customWidth="1"/>
    <col min="3" max="3" width="80.109375" style="8" customWidth="1"/>
    <col min="4" max="4" width="12.109375" style="1" customWidth="1"/>
    <col min="5" max="5" width="19.33203125" style="1" customWidth="1"/>
    <col min="6" max="6" width="19.5546875" style="21" bestFit="1" customWidth="1"/>
    <col min="7" max="7" width="23.33203125" style="21" customWidth="1"/>
    <col min="8" max="8" width="20.33203125" style="82" customWidth="1"/>
    <col min="9" max="16384" width="9.109375" style="1"/>
  </cols>
  <sheetData>
    <row r="1" spans="1:8" ht="93" customHeight="1" x14ac:dyDescent="0.3">
      <c r="A1" s="77" t="s">
        <v>364</v>
      </c>
      <c r="B1" s="77"/>
      <c r="C1" s="77"/>
      <c r="D1" s="77"/>
      <c r="E1" s="77"/>
      <c r="F1" s="77"/>
      <c r="G1" s="77"/>
    </row>
    <row r="2" spans="1:8" ht="90" customHeight="1" x14ac:dyDescent="0.3">
      <c r="A2" s="79" t="s">
        <v>363</v>
      </c>
      <c r="B2" s="79"/>
      <c r="C2" s="79"/>
      <c r="D2" s="79"/>
      <c r="E2" s="79"/>
      <c r="F2" s="79"/>
      <c r="G2" s="79"/>
    </row>
    <row r="3" spans="1:8" ht="59.25" customHeight="1" x14ac:dyDescent="0.3">
      <c r="A3" s="17" t="s">
        <v>0</v>
      </c>
      <c r="B3" s="3" t="s">
        <v>18</v>
      </c>
      <c r="C3" s="3" t="s">
        <v>2</v>
      </c>
      <c r="D3" s="3" t="s">
        <v>1</v>
      </c>
      <c r="E3" s="5" t="s">
        <v>3</v>
      </c>
      <c r="F3" s="22" t="s">
        <v>361</v>
      </c>
      <c r="G3" s="22" t="s">
        <v>362</v>
      </c>
    </row>
    <row r="4" spans="1:8" ht="15.6" x14ac:dyDescent="0.3">
      <c r="A4" s="28"/>
      <c r="B4" s="29"/>
      <c r="C4" s="29" t="s">
        <v>6</v>
      </c>
      <c r="D4" s="29"/>
      <c r="E4" s="29"/>
      <c r="F4" s="30"/>
      <c r="G4" s="30"/>
    </row>
    <row r="5" spans="1:8" s="2" customFormat="1" ht="109.2" x14ac:dyDescent="0.3">
      <c r="A5" s="15">
        <v>1</v>
      </c>
      <c r="B5" s="80" t="s">
        <v>160</v>
      </c>
      <c r="C5" s="11" t="s">
        <v>244</v>
      </c>
      <c r="D5" s="6" t="s">
        <v>20</v>
      </c>
      <c r="E5" s="7">
        <v>7</v>
      </c>
      <c r="F5" s="83">
        <v>2663550.6024000002</v>
      </c>
      <c r="G5" s="25">
        <f t="shared" ref="G5:G68" si="0">ROUND(E5*F5,2)</f>
        <v>18644854.219999999</v>
      </c>
      <c r="H5" s="82"/>
    </row>
    <row r="6" spans="1:8" s="2" customFormat="1" ht="15.6" x14ac:dyDescent="0.3">
      <c r="A6" s="15">
        <v>2</v>
      </c>
      <c r="B6" s="81"/>
      <c r="C6" s="61" t="s">
        <v>49</v>
      </c>
      <c r="D6" s="62" t="s">
        <v>20</v>
      </c>
      <c r="E6" s="62">
        <v>7</v>
      </c>
      <c r="F6" s="85">
        <v>719913.1</v>
      </c>
      <c r="G6" s="63">
        <f t="shared" si="0"/>
        <v>5039391.7</v>
      </c>
      <c r="H6" s="82"/>
    </row>
    <row r="7" spans="1:8" s="2" customFormat="1" ht="15.6" x14ac:dyDescent="0.3">
      <c r="A7" s="15">
        <v>3</v>
      </c>
      <c r="B7" s="81"/>
      <c r="C7" s="4" t="s">
        <v>240</v>
      </c>
      <c r="D7" s="6" t="s">
        <v>20</v>
      </c>
      <c r="E7" s="7">
        <v>7</v>
      </c>
      <c r="F7" s="83">
        <v>194797.4376</v>
      </c>
      <c r="G7" s="25">
        <f t="shared" si="0"/>
        <v>1363582.06</v>
      </c>
      <c r="H7" s="82"/>
    </row>
    <row r="8" spans="1:8" s="2" customFormat="1" ht="15.6" x14ac:dyDescent="0.3">
      <c r="A8" s="15">
        <v>4</v>
      </c>
      <c r="B8" s="81"/>
      <c r="C8" s="64" t="s">
        <v>161</v>
      </c>
      <c r="D8" s="62" t="s">
        <v>20</v>
      </c>
      <c r="E8" s="62">
        <v>7</v>
      </c>
      <c r="F8" s="85">
        <v>159980.69</v>
      </c>
      <c r="G8" s="63">
        <f t="shared" si="0"/>
        <v>1119864.83</v>
      </c>
      <c r="H8" s="82"/>
    </row>
    <row r="9" spans="1:8" ht="93.6" x14ac:dyDescent="0.3">
      <c r="A9" s="15">
        <v>5</v>
      </c>
      <c r="B9" s="76" t="s">
        <v>19</v>
      </c>
      <c r="C9" s="10" t="s">
        <v>162</v>
      </c>
      <c r="D9" s="6" t="s">
        <v>20</v>
      </c>
      <c r="E9" s="7">
        <v>1</v>
      </c>
      <c r="F9" s="83">
        <v>1042064.2217999999</v>
      </c>
      <c r="G9" s="23">
        <f t="shared" si="0"/>
        <v>1042064.22</v>
      </c>
    </row>
    <row r="10" spans="1:8" ht="15.6" x14ac:dyDescent="0.3">
      <c r="A10" s="15">
        <v>6</v>
      </c>
      <c r="B10" s="76"/>
      <c r="C10" s="61" t="s">
        <v>33</v>
      </c>
      <c r="D10" s="62" t="s">
        <v>20</v>
      </c>
      <c r="E10" s="62">
        <v>1</v>
      </c>
      <c r="F10" s="85">
        <v>719913.1</v>
      </c>
      <c r="G10" s="65">
        <f t="shared" si="0"/>
        <v>719913.1</v>
      </c>
    </row>
    <row r="11" spans="1:8" ht="15.6" x14ac:dyDescent="0.3">
      <c r="A11" s="15">
        <v>7</v>
      </c>
      <c r="B11" s="76"/>
      <c r="C11" s="10" t="s">
        <v>8</v>
      </c>
      <c r="D11" s="6" t="s">
        <v>20</v>
      </c>
      <c r="E11" s="7">
        <v>1</v>
      </c>
      <c r="F11" s="83">
        <v>147131.5116</v>
      </c>
      <c r="G11" s="23">
        <f t="shared" si="0"/>
        <v>147131.51</v>
      </c>
    </row>
    <row r="12" spans="1:8" s="2" customFormat="1" ht="15.6" x14ac:dyDescent="0.3">
      <c r="A12" s="15">
        <v>8</v>
      </c>
      <c r="B12" s="76"/>
      <c r="C12" s="66" t="s">
        <v>167</v>
      </c>
      <c r="D12" s="62" t="s">
        <v>20</v>
      </c>
      <c r="E12" s="62">
        <v>1</v>
      </c>
      <c r="F12" s="85">
        <v>159980.69</v>
      </c>
      <c r="G12" s="63">
        <f t="shared" si="0"/>
        <v>159980.69</v>
      </c>
      <c r="H12" s="82"/>
    </row>
    <row r="13" spans="1:8" ht="111" customHeight="1" x14ac:dyDescent="0.3">
      <c r="A13" s="15">
        <v>9</v>
      </c>
      <c r="B13" s="76" t="s">
        <v>44</v>
      </c>
      <c r="C13" s="10" t="s">
        <v>163</v>
      </c>
      <c r="D13" s="6" t="s">
        <v>20</v>
      </c>
      <c r="E13" s="7">
        <v>1</v>
      </c>
      <c r="F13" s="83">
        <v>1660578.105</v>
      </c>
      <c r="G13" s="23">
        <f t="shared" si="0"/>
        <v>1660578.11</v>
      </c>
    </row>
    <row r="14" spans="1:8" ht="15.6" x14ac:dyDescent="0.3">
      <c r="A14" s="15">
        <v>10</v>
      </c>
      <c r="B14" s="76"/>
      <c r="C14" s="61" t="s">
        <v>33</v>
      </c>
      <c r="D14" s="62" t="s">
        <v>20</v>
      </c>
      <c r="E14" s="62">
        <v>1</v>
      </c>
      <c r="F14" s="85">
        <v>719913.1</v>
      </c>
      <c r="G14" s="65">
        <f t="shared" si="0"/>
        <v>719913.1</v>
      </c>
    </row>
    <row r="15" spans="1:8" ht="15.6" x14ac:dyDescent="0.3">
      <c r="A15" s="15">
        <v>11</v>
      </c>
      <c r="B15" s="76"/>
      <c r="C15" s="4" t="s">
        <v>45</v>
      </c>
      <c r="D15" s="6" t="s">
        <v>20</v>
      </c>
      <c r="E15" s="7">
        <v>1</v>
      </c>
      <c r="F15" s="83">
        <v>151011.12239999999</v>
      </c>
      <c r="G15" s="23">
        <f t="shared" si="0"/>
        <v>151011.12</v>
      </c>
    </row>
    <row r="16" spans="1:8" s="2" customFormat="1" ht="15.6" x14ac:dyDescent="0.3">
      <c r="A16" s="15">
        <v>12</v>
      </c>
      <c r="B16" s="76"/>
      <c r="C16" s="66" t="s">
        <v>167</v>
      </c>
      <c r="D16" s="62" t="s">
        <v>20</v>
      </c>
      <c r="E16" s="62">
        <v>1</v>
      </c>
      <c r="F16" s="85">
        <v>159980.69</v>
      </c>
      <c r="G16" s="63">
        <f t="shared" si="0"/>
        <v>159980.69</v>
      </c>
      <c r="H16" s="82"/>
    </row>
    <row r="17" spans="1:8" ht="69" customHeight="1" x14ac:dyDescent="0.3">
      <c r="A17" s="15">
        <v>13</v>
      </c>
      <c r="B17" s="76" t="s">
        <v>47</v>
      </c>
      <c r="C17" s="4" t="s">
        <v>164</v>
      </c>
      <c r="D17" s="6" t="s">
        <v>20</v>
      </c>
      <c r="E17" s="7">
        <v>1</v>
      </c>
      <c r="F17" s="83">
        <v>59259.235800000002</v>
      </c>
      <c r="G17" s="23">
        <f t="shared" si="0"/>
        <v>59259.24</v>
      </c>
    </row>
    <row r="18" spans="1:8" ht="15.6" x14ac:dyDescent="0.3">
      <c r="A18" s="15">
        <v>14</v>
      </c>
      <c r="B18" s="76"/>
      <c r="C18" s="67" t="s">
        <v>46</v>
      </c>
      <c r="D18" s="62" t="s">
        <v>20</v>
      </c>
      <c r="E18" s="62">
        <v>1</v>
      </c>
      <c r="F18" s="85">
        <v>479942.06</v>
      </c>
      <c r="G18" s="65">
        <f t="shared" si="0"/>
        <v>479942.06</v>
      </c>
    </row>
    <row r="19" spans="1:8" ht="15.6" x14ac:dyDescent="0.3">
      <c r="A19" s="15">
        <v>15</v>
      </c>
      <c r="B19" s="76"/>
      <c r="C19" s="4" t="s">
        <v>48</v>
      </c>
      <c r="D19" s="6" t="s">
        <v>20</v>
      </c>
      <c r="E19" s="7">
        <v>1</v>
      </c>
      <c r="F19" s="83">
        <v>47045.572200000002</v>
      </c>
      <c r="G19" s="23">
        <f t="shared" si="0"/>
        <v>47045.57</v>
      </c>
    </row>
    <row r="20" spans="1:8" s="2" customFormat="1" ht="15.6" x14ac:dyDescent="0.3">
      <c r="A20" s="15">
        <v>16</v>
      </c>
      <c r="B20" s="76"/>
      <c r="C20" s="66" t="s">
        <v>167</v>
      </c>
      <c r="D20" s="62" t="s">
        <v>20</v>
      </c>
      <c r="E20" s="62">
        <v>1</v>
      </c>
      <c r="F20" s="85">
        <v>159980.69</v>
      </c>
      <c r="G20" s="63">
        <f t="shared" si="0"/>
        <v>159980.69</v>
      </c>
      <c r="H20" s="82"/>
    </row>
    <row r="21" spans="1:8" ht="60.75" customHeight="1" x14ac:dyDescent="0.3">
      <c r="A21" s="15">
        <v>17</v>
      </c>
      <c r="B21" s="76" t="s">
        <v>21</v>
      </c>
      <c r="C21" s="4" t="s">
        <v>165</v>
      </c>
      <c r="D21" s="6" t="s">
        <v>20</v>
      </c>
      <c r="E21" s="7">
        <v>1</v>
      </c>
      <c r="F21" s="83">
        <v>59259.235800000002</v>
      </c>
      <c r="G21" s="23">
        <f t="shared" si="0"/>
        <v>59259.24</v>
      </c>
    </row>
    <row r="22" spans="1:8" ht="15.6" x14ac:dyDescent="0.3">
      <c r="A22" s="15">
        <v>18</v>
      </c>
      <c r="B22" s="76"/>
      <c r="C22" s="67" t="s">
        <v>46</v>
      </c>
      <c r="D22" s="62" t="s">
        <v>20</v>
      </c>
      <c r="E22" s="62">
        <v>1</v>
      </c>
      <c r="F22" s="85">
        <v>359956.55</v>
      </c>
      <c r="G22" s="65">
        <f t="shared" si="0"/>
        <v>359956.55</v>
      </c>
    </row>
    <row r="23" spans="1:8" ht="15.6" x14ac:dyDescent="0.3">
      <c r="A23" s="15">
        <v>19</v>
      </c>
      <c r="B23" s="76"/>
      <c r="C23" s="4" t="s">
        <v>9</v>
      </c>
      <c r="D23" s="6" t="s">
        <v>20</v>
      </c>
      <c r="E23" s="7">
        <v>1</v>
      </c>
      <c r="F23" s="83">
        <v>47045.572200000002</v>
      </c>
      <c r="G23" s="23">
        <f t="shared" si="0"/>
        <v>47045.57</v>
      </c>
    </row>
    <row r="24" spans="1:8" s="2" customFormat="1" ht="15.6" x14ac:dyDescent="0.3">
      <c r="A24" s="15">
        <v>20</v>
      </c>
      <c r="B24" s="76"/>
      <c r="C24" s="66" t="s">
        <v>167</v>
      </c>
      <c r="D24" s="62" t="s">
        <v>20</v>
      </c>
      <c r="E24" s="62">
        <v>1</v>
      </c>
      <c r="F24" s="85">
        <v>159980.69</v>
      </c>
      <c r="G24" s="63">
        <f t="shared" si="0"/>
        <v>159980.69</v>
      </c>
      <c r="H24" s="82"/>
    </row>
    <row r="25" spans="1:8" ht="93.6" x14ac:dyDescent="0.3">
      <c r="A25" s="15">
        <v>21</v>
      </c>
      <c r="B25" s="76" t="s">
        <v>241</v>
      </c>
      <c r="C25" s="4" t="s">
        <v>166</v>
      </c>
      <c r="D25" s="6" t="s">
        <v>20</v>
      </c>
      <c r="E25" s="7">
        <v>1</v>
      </c>
      <c r="F25" s="83">
        <v>801479.47379999992</v>
      </c>
      <c r="G25" s="23">
        <f t="shared" si="0"/>
        <v>801479.47</v>
      </c>
    </row>
    <row r="26" spans="1:8" ht="15.6" x14ac:dyDescent="0.3">
      <c r="A26" s="15">
        <v>22</v>
      </c>
      <c r="B26" s="76"/>
      <c r="C26" s="61" t="s">
        <v>33</v>
      </c>
      <c r="D26" s="62" t="s">
        <v>20</v>
      </c>
      <c r="E26" s="62">
        <v>1</v>
      </c>
      <c r="F26" s="85">
        <v>479942.06</v>
      </c>
      <c r="G26" s="65">
        <f t="shared" si="0"/>
        <v>479942.06</v>
      </c>
    </row>
    <row r="27" spans="1:8" ht="15.6" x14ac:dyDescent="0.3">
      <c r="A27" s="15">
        <v>23</v>
      </c>
      <c r="B27" s="76"/>
      <c r="C27" s="4" t="s">
        <v>242</v>
      </c>
      <c r="D27" s="6" t="s">
        <v>20</v>
      </c>
      <c r="E27" s="7">
        <v>1</v>
      </c>
      <c r="F27" s="83">
        <v>146154.47400000002</v>
      </c>
      <c r="G27" s="23">
        <f t="shared" si="0"/>
        <v>146154.47</v>
      </c>
    </row>
    <row r="28" spans="1:8" s="2" customFormat="1" ht="15.6" x14ac:dyDescent="0.3">
      <c r="A28" s="15">
        <v>24</v>
      </c>
      <c r="B28" s="76"/>
      <c r="C28" s="66" t="s">
        <v>167</v>
      </c>
      <c r="D28" s="62" t="s">
        <v>20</v>
      </c>
      <c r="E28" s="62">
        <v>1</v>
      </c>
      <c r="F28" s="85">
        <v>159980.69</v>
      </c>
      <c r="G28" s="63">
        <f t="shared" si="0"/>
        <v>159980.69</v>
      </c>
      <c r="H28" s="82"/>
    </row>
    <row r="29" spans="1:8" s="2" customFormat="1" ht="62.4" x14ac:dyDescent="0.3">
      <c r="A29" s="15">
        <v>25</v>
      </c>
      <c r="B29" s="76" t="s">
        <v>22</v>
      </c>
      <c r="C29" s="12" t="s">
        <v>243</v>
      </c>
      <c r="D29" s="7"/>
      <c r="E29" s="7">
        <v>1</v>
      </c>
      <c r="F29" s="83">
        <v>134965.40039999998</v>
      </c>
      <c r="G29" s="24">
        <f t="shared" si="0"/>
        <v>134965.4</v>
      </c>
      <c r="H29" s="82"/>
    </row>
    <row r="30" spans="1:8" s="2" customFormat="1" ht="15.6" x14ac:dyDescent="0.3">
      <c r="A30" s="15">
        <v>26</v>
      </c>
      <c r="B30" s="76"/>
      <c r="C30" s="67" t="s">
        <v>46</v>
      </c>
      <c r="D30" s="62" t="s">
        <v>20</v>
      </c>
      <c r="E30" s="62">
        <v>1</v>
      </c>
      <c r="F30" s="85">
        <v>479942.06</v>
      </c>
      <c r="G30" s="63">
        <f t="shared" si="0"/>
        <v>479942.06</v>
      </c>
      <c r="H30" s="82"/>
    </row>
    <row r="31" spans="1:8" s="2" customFormat="1" ht="15.6" x14ac:dyDescent="0.3">
      <c r="A31" s="15">
        <v>27</v>
      </c>
      <c r="B31" s="76"/>
      <c r="C31" s="12" t="s">
        <v>10</v>
      </c>
      <c r="D31" s="7"/>
      <c r="E31" s="7">
        <v>1</v>
      </c>
      <c r="F31" s="83">
        <v>96214.060199999993</v>
      </c>
      <c r="G31" s="24">
        <f t="shared" si="0"/>
        <v>96214.06</v>
      </c>
      <c r="H31" s="82"/>
    </row>
    <row r="32" spans="1:8" s="2" customFormat="1" ht="15.6" x14ac:dyDescent="0.3">
      <c r="A32" s="15">
        <v>28</v>
      </c>
      <c r="B32" s="76"/>
      <c r="C32" s="66" t="s">
        <v>167</v>
      </c>
      <c r="D32" s="62" t="s">
        <v>20</v>
      </c>
      <c r="E32" s="62">
        <v>1</v>
      </c>
      <c r="F32" s="85">
        <v>159980.69</v>
      </c>
      <c r="G32" s="63">
        <f t="shared" si="0"/>
        <v>159980.69</v>
      </c>
      <c r="H32" s="82"/>
    </row>
    <row r="33" spans="1:8" ht="46.8" x14ac:dyDescent="0.3">
      <c r="A33" s="15">
        <v>29</v>
      </c>
      <c r="B33" s="76" t="s">
        <v>50</v>
      </c>
      <c r="C33" s="4" t="s">
        <v>168</v>
      </c>
      <c r="D33" s="6" t="s">
        <v>20</v>
      </c>
      <c r="E33" s="7">
        <v>1</v>
      </c>
      <c r="F33" s="83">
        <v>43600.614000000001</v>
      </c>
      <c r="G33" s="23">
        <f t="shared" si="0"/>
        <v>43600.61</v>
      </c>
    </row>
    <row r="34" spans="1:8" ht="15.6" x14ac:dyDescent="0.3">
      <c r="A34" s="15">
        <v>30</v>
      </c>
      <c r="B34" s="76"/>
      <c r="C34" s="67" t="s">
        <v>46</v>
      </c>
      <c r="D34" s="62" t="s">
        <v>20</v>
      </c>
      <c r="E34" s="62">
        <v>1</v>
      </c>
      <c r="F34" s="85">
        <v>359956.55</v>
      </c>
      <c r="G34" s="65">
        <f t="shared" si="0"/>
        <v>359956.55</v>
      </c>
    </row>
    <row r="35" spans="1:8" ht="15.6" x14ac:dyDescent="0.3">
      <c r="A35" s="15">
        <v>31</v>
      </c>
      <c r="B35" s="76"/>
      <c r="C35" s="10" t="s">
        <v>51</v>
      </c>
      <c r="D35" s="6" t="s">
        <v>20</v>
      </c>
      <c r="E35" s="7">
        <v>1</v>
      </c>
      <c r="F35" s="83">
        <v>68985.986400000009</v>
      </c>
      <c r="G35" s="23">
        <f t="shared" si="0"/>
        <v>68985.990000000005</v>
      </c>
    </row>
    <row r="36" spans="1:8" s="2" customFormat="1" ht="15.6" x14ac:dyDescent="0.3">
      <c r="A36" s="15">
        <v>32</v>
      </c>
      <c r="B36" s="78"/>
      <c r="C36" s="66" t="s">
        <v>167</v>
      </c>
      <c r="D36" s="62" t="s">
        <v>20</v>
      </c>
      <c r="E36" s="62">
        <v>1</v>
      </c>
      <c r="F36" s="85">
        <v>159980.69</v>
      </c>
      <c r="G36" s="63">
        <f t="shared" si="0"/>
        <v>159980.69</v>
      </c>
      <c r="H36" s="82"/>
    </row>
    <row r="37" spans="1:8" ht="62.4" x14ac:dyDescent="0.3">
      <c r="A37" s="15">
        <v>33</v>
      </c>
      <c r="B37" s="76" t="s">
        <v>53</v>
      </c>
      <c r="C37" s="4" t="s">
        <v>169</v>
      </c>
      <c r="D37" s="6" t="s">
        <v>20</v>
      </c>
      <c r="E37" s="7">
        <v>1</v>
      </c>
      <c r="F37" s="83">
        <v>67031.156400000007</v>
      </c>
      <c r="G37" s="23">
        <f t="shared" si="0"/>
        <v>67031.16</v>
      </c>
    </row>
    <row r="38" spans="1:8" ht="15.6" x14ac:dyDescent="0.3">
      <c r="A38" s="15">
        <v>34</v>
      </c>
      <c r="B38" s="76"/>
      <c r="C38" s="67" t="s">
        <v>46</v>
      </c>
      <c r="D38" s="62" t="s">
        <v>20</v>
      </c>
      <c r="E38" s="62">
        <v>1</v>
      </c>
      <c r="F38" s="85">
        <v>479942.06</v>
      </c>
      <c r="G38" s="65">
        <f t="shared" si="0"/>
        <v>479942.06</v>
      </c>
    </row>
    <row r="39" spans="1:8" ht="15.6" x14ac:dyDescent="0.3">
      <c r="A39" s="15">
        <v>35</v>
      </c>
      <c r="B39" s="76"/>
      <c r="C39" s="4" t="s">
        <v>52</v>
      </c>
      <c r="D39" s="6" t="s">
        <v>20</v>
      </c>
      <c r="E39" s="7">
        <v>1</v>
      </c>
      <c r="F39" s="83">
        <v>88478.61480000001</v>
      </c>
      <c r="G39" s="23">
        <f t="shared" si="0"/>
        <v>88478.61</v>
      </c>
    </row>
    <row r="40" spans="1:8" s="2" customFormat="1" ht="15.6" x14ac:dyDescent="0.3">
      <c r="A40" s="15">
        <v>36</v>
      </c>
      <c r="B40" s="78"/>
      <c r="C40" s="66" t="s">
        <v>167</v>
      </c>
      <c r="D40" s="62" t="s">
        <v>20</v>
      </c>
      <c r="E40" s="62">
        <v>1</v>
      </c>
      <c r="F40" s="85">
        <v>159980.69</v>
      </c>
      <c r="G40" s="63">
        <f t="shared" si="0"/>
        <v>159980.69</v>
      </c>
      <c r="H40" s="82"/>
    </row>
    <row r="41" spans="1:8" ht="78" x14ac:dyDescent="0.3">
      <c r="A41" s="15">
        <v>37</v>
      </c>
      <c r="B41" s="76" t="s">
        <v>55</v>
      </c>
      <c r="C41" s="4" t="s">
        <v>170</v>
      </c>
      <c r="D41" s="6" t="s">
        <v>20</v>
      </c>
      <c r="E41" s="7">
        <v>1</v>
      </c>
      <c r="F41" s="83">
        <v>1521916.1634</v>
      </c>
      <c r="G41" s="23">
        <f t="shared" si="0"/>
        <v>1521916.16</v>
      </c>
    </row>
    <row r="42" spans="1:8" ht="15.6" x14ac:dyDescent="0.3">
      <c r="A42" s="15">
        <v>38</v>
      </c>
      <c r="B42" s="76"/>
      <c r="C42" s="61" t="s">
        <v>49</v>
      </c>
      <c r="D42" s="62" t="s">
        <v>20</v>
      </c>
      <c r="E42" s="62">
        <v>1</v>
      </c>
      <c r="F42" s="85">
        <v>479942.06</v>
      </c>
      <c r="G42" s="65">
        <f t="shared" si="0"/>
        <v>479942.06</v>
      </c>
    </row>
    <row r="43" spans="1:8" ht="15.6" x14ac:dyDescent="0.3">
      <c r="A43" s="15">
        <v>39</v>
      </c>
      <c r="B43" s="76"/>
      <c r="C43" s="31" t="s">
        <v>54</v>
      </c>
      <c r="D43" s="6" t="s">
        <v>20</v>
      </c>
      <c r="E43" s="7">
        <v>1</v>
      </c>
      <c r="F43" s="83">
        <v>193195.7316</v>
      </c>
      <c r="G43" s="23">
        <f t="shared" si="0"/>
        <v>193195.73</v>
      </c>
    </row>
    <row r="44" spans="1:8" s="2" customFormat="1" ht="15.6" x14ac:dyDescent="0.3">
      <c r="A44" s="15">
        <v>40</v>
      </c>
      <c r="B44" s="78"/>
      <c r="C44" s="64" t="s">
        <v>161</v>
      </c>
      <c r="D44" s="62" t="s">
        <v>20</v>
      </c>
      <c r="E44" s="62">
        <v>1</v>
      </c>
      <c r="F44" s="85">
        <v>159980.69</v>
      </c>
      <c r="G44" s="63">
        <f t="shared" si="0"/>
        <v>159980.69</v>
      </c>
      <c r="H44" s="82"/>
    </row>
    <row r="45" spans="1:8" ht="62.4" x14ac:dyDescent="0.3">
      <c r="A45" s="15">
        <v>41</v>
      </c>
      <c r="B45" s="76" t="s">
        <v>57</v>
      </c>
      <c r="C45" s="4" t="s">
        <v>171</v>
      </c>
      <c r="D45" s="6" t="s">
        <v>20</v>
      </c>
      <c r="E45" s="7">
        <v>1</v>
      </c>
      <c r="F45" s="83">
        <v>134965.40039999998</v>
      </c>
      <c r="G45" s="23">
        <f t="shared" si="0"/>
        <v>134965.4</v>
      </c>
    </row>
    <row r="46" spans="1:8" ht="15.6" x14ac:dyDescent="0.3">
      <c r="A46" s="15">
        <v>42</v>
      </c>
      <c r="B46" s="76"/>
      <c r="C46" s="67" t="s">
        <v>46</v>
      </c>
      <c r="D46" s="62" t="s">
        <v>20</v>
      </c>
      <c r="E46" s="62">
        <v>1</v>
      </c>
      <c r="F46" s="85">
        <v>479942.06</v>
      </c>
      <c r="G46" s="65">
        <f t="shared" si="0"/>
        <v>479942.06</v>
      </c>
    </row>
    <row r="47" spans="1:8" ht="15.6" x14ac:dyDescent="0.3">
      <c r="A47" s="15">
        <v>43</v>
      </c>
      <c r="B47" s="76"/>
      <c r="C47" s="4" t="s">
        <v>56</v>
      </c>
      <c r="D47" s="6" t="s">
        <v>20</v>
      </c>
      <c r="E47" s="7">
        <v>1</v>
      </c>
      <c r="F47" s="83">
        <v>96214.060199999993</v>
      </c>
      <c r="G47" s="23">
        <f t="shared" si="0"/>
        <v>96214.06</v>
      </c>
    </row>
    <row r="48" spans="1:8" s="2" customFormat="1" ht="15.6" x14ac:dyDescent="0.3">
      <c r="A48" s="15">
        <v>44</v>
      </c>
      <c r="B48" s="78"/>
      <c r="C48" s="66" t="s">
        <v>167</v>
      </c>
      <c r="D48" s="62" t="s">
        <v>20</v>
      </c>
      <c r="E48" s="62">
        <v>1</v>
      </c>
      <c r="F48" s="85">
        <v>159980.69</v>
      </c>
      <c r="G48" s="63">
        <f t="shared" si="0"/>
        <v>159980.69</v>
      </c>
      <c r="H48" s="82"/>
    </row>
    <row r="49" spans="1:8" ht="46.8" x14ac:dyDescent="0.3">
      <c r="A49" s="15">
        <v>45</v>
      </c>
      <c r="B49" s="76" t="s">
        <v>24</v>
      </c>
      <c r="C49" s="4" t="s">
        <v>172</v>
      </c>
      <c r="D49" s="6" t="s">
        <v>20</v>
      </c>
      <c r="E49" s="7">
        <v>1</v>
      </c>
      <c r="F49" s="83">
        <v>67028.555400000012</v>
      </c>
      <c r="G49" s="23">
        <f t="shared" si="0"/>
        <v>67028.56</v>
      </c>
    </row>
    <row r="50" spans="1:8" ht="15.6" x14ac:dyDescent="0.3">
      <c r="A50" s="15">
        <v>46</v>
      </c>
      <c r="B50" s="76"/>
      <c r="C50" s="67" t="s">
        <v>46</v>
      </c>
      <c r="D50" s="62" t="s">
        <v>20</v>
      </c>
      <c r="E50" s="62">
        <v>1</v>
      </c>
      <c r="F50" s="85">
        <v>359956.55</v>
      </c>
      <c r="G50" s="65">
        <f t="shared" si="0"/>
        <v>359956.55</v>
      </c>
    </row>
    <row r="51" spans="1:8" ht="15.6" x14ac:dyDescent="0.3">
      <c r="A51" s="15">
        <v>47</v>
      </c>
      <c r="B51" s="76"/>
      <c r="C51" s="4" t="s">
        <v>12</v>
      </c>
      <c r="D51" s="6" t="s">
        <v>20</v>
      </c>
      <c r="E51" s="7">
        <v>1</v>
      </c>
      <c r="F51" s="83">
        <v>68408.421600000001</v>
      </c>
      <c r="G51" s="23">
        <f t="shared" si="0"/>
        <v>68408.42</v>
      </c>
    </row>
    <row r="52" spans="1:8" s="2" customFormat="1" ht="15.6" x14ac:dyDescent="0.3">
      <c r="A52" s="15">
        <v>48</v>
      </c>
      <c r="B52" s="78"/>
      <c r="C52" s="66" t="s">
        <v>167</v>
      </c>
      <c r="D52" s="62" t="s">
        <v>20</v>
      </c>
      <c r="E52" s="62">
        <v>1</v>
      </c>
      <c r="F52" s="85">
        <v>159980.69</v>
      </c>
      <c r="G52" s="63">
        <f t="shared" si="0"/>
        <v>159980.69</v>
      </c>
      <c r="H52" s="82"/>
    </row>
    <row r="53" spans="1:8" ht="46.8" x14ac:dyDescent="0.3">
      <c r="A53" s="15">
        <v>49</v>
      </c>
      <c r="B53" s="76" t="s">
        <v>59</v>
      </c>
      <c r="C53" s="4" t="s">
        <v>173</v>
      </c>
      <c r="D53" s="6" t="s">
        <v>20</v>
      </c>
      <c r="E53" s="7">
        <v>1</v>
      </c>
      <c r="F53" s="83">
        <v>33897.098999999995</v>
      </c>
      <c r="G53" s="23">
        <f t="shared" si="0"/>
        <v>33897.1</v>
      </c>
    </row>
    <row r="54" spans="1:8" ht="15.6" x14ac:dyDescent="0.3">
      <c r="A54" s="15">
        <v>50</v>
      </c>
      <c r="B54" s="76"/>
      <c r="C54" s="67" t="s">
        <v>46</v>
      </c>
      <c r="D54" s="62" t="s">
        <v>20</v>
      </c>
      <c r="E54" s="62">
        <v>1</v>
      </c>
      <c r="F54" s="85">
        <v>479942.06</v>
      </c>
      <c r="G54" s="65">
        <f t="shared" si="0"/>
        <v>479942.06</v>
      </c>
    </row>
    <row r="55" spans="1:8" ht="15.6" x14ac:dyDescent="0.3">
      <c r="A55" s="15">
        <v>51</v>
      </c>
      <c r="B55" s="76"/>
      <c r="C55" s="4" t="s">
        <v>58</v>
      </c>
      <c r="D55" s="6" t="s">
        <v>20</v>
      </c>
      <c r="E55" s="7">
        <v>1</v>
      </c>
      <c r="F55" s="83">
        <v>10652.8698</v>
      </c>
      <c r="G55" s="23">
        <f t="shared" si="0"/>
        <v>10652.87</v>
      </c>
    </row>
    <row r="56" spans="1:8" s="2" customFormat="1" ht="15.6" x14ac:dyDescent="0.3">
      <c r="A56" s="15">
        <v>52</v>
      </c>
      <c r="B56" s="78"/>
      <c r="C56" s="66" t="s">
        <v>167</v>
      </c>
      <c r="D56" s="62" t="s">
        <v>20</v>
      </c>
      <c r="E56" s="62">
        <v>1</v>
      </c>
      <c r="F56" s="85">
        <v>159980.69</v>
      </c>
      <c r="G56" s="63">
        <f t="shared" si="0"/>
        <v>159980.69</v>
      </c>
      <c r="H56" s="82"/>
    </row>
    <row r="57" spans="1:8" ht="46.8" x14ac:dyDescent="0.3">
      <c r="A57" s="15">
        <v>53</v>
      </c>
      <c r="B57" s="76" t="s">
        <v>61</v>
      </c>
      <c r="C57" s="4" t="s">
        <v>174</v>
      </c>
      <c r="D57" s="6" t="s">
        <v>20</v>
      </c>
      <c r="E57" s="7">
        <v>1</v>
      </c>
      <c r="F57" s="83">
        <v>41638.633800000003</v>
      </c>
      <c r="G57" s="23">
        <f t="shared" si="0"/>
        <v>41638.629999999997</v>
      </c>
    </row>
    <row r="58" spans="1:8" ht="15.6" x14ac:dyDescent="0.3">
      <c r="A58" s="15">
        <v>54</v>
      </c>
      <c r="B58" s="76"/>
      <c r="C58" s="67" t="s">
        <v>66</v>
      </c>
      <c r="D58" s="62" t="s">
        <v>20</v>
      </c>
      <c r="E58" s="62">
        <v>1</v>
      </c>
      <c r="F58" s="85">
        <v>359956.55</v>
      </c>
      <c r="G58" s="65">
        <f t="shared" si="0"/>
        <v>359956.55</v>
      </c>
    </row>
    <row r="59" spans="1:8" ht="15.6" x14ac:dyDescent="0.3">
      <c r="A59" s="15">
        <v>55</v>
      </c>
      <c r="B59" s="76"/>
      <c r="C59" s="64" t="s">
        <v>35</v>
      </c>
      <c r="D59" s="62" t="s">
        <v>20</v>
      </c>
      <c r="E59" s="62">
        <v>1</v>
      </c>
      <c r="F59" s="85">
        <v>63992.28</v>
      </c>
      <c r="G59" s="65">
        <f t="shared" si="0"/>
        <v>63992.28</v>
      </c>
    </row>
    <row r="60" spans="1:8" ht="15.6" x14ac:dyDescent="0.3">
      <c r="A60" s="15">
        <v>56</v>
      </c>
      <c r="B60" s="76"/>
      <c r="C60" s="4" t="s">
        <v>60</v>
      </c>
      <c r="D60" s="6" t="s">
        <v>20</v>
      </c>
      <c r="E60" s="7">
        <v>1</v>
      </c>
      <c r="F60" s="83">
        <v>55995.613200000007</v>
      </c>
      <c r="G60" s="23">
        <f t="shared" si="0"/>
        <v>55995.61</v>
      </c>
    </row>
    <row r="61" spans="1:8" s="2" customFormat="1" ht="15.6" x14ac:dyDescent="0.3">
      <c r="A61" s="15">
        <v>57</v>
      </c>
      <c r="B61" s="78"/>
      <c r="C61" s="66" t="s">
        <v>167</v>
      </c>
      <c r="D61" s="62" t="s">
        <v>20</v>
      </c>
      <c r="E61" s="62">
        <v>1</v>
      </c>
      <c r="F61" s="85">
        <v>159980.69</v>
      </c>
      <c r="G61" s="63">
        <f t="shared" si="0"/>
        <v>159980.69</v>
      </c>
      <c r="H61" s="82"/>
    </row>
    <row r="62" spans="1:8" ht="46.8" x14ac:dyDescent="0.3">
      <c r="A62" s="15">
        <v>58</v>
      </c>
      <c r="B62" s="76" t="s">
        <v>63</v>
      </c>
      <c r="C62" s="10" t="s">
        <v>175</v>
      </c>
      <c r="D62" s="6" t="s">
        <v>20</v>
      </c>
      <c r="E62" s="7">
        <v>1</v>
      </c>
      <c r="F62" s="83">
        <v>12669.940200000001</v>
      </c>
      <c r="G62" s="23">
        <f t="shared" si="0"/>
        <v>12669.94</v>
      </c>
    </row>
    <row r="63" spans="1:8" ht="15.6" x14ac:dyDescent="0.3">
      <c r="A63" s="15">
        <v>59</v>
      </c>
      <c r="B63" s="76"/>
      <c r="C63" s="67" t="s">
        <v>46</v>
      </c>
      <c r="D63" s="62" t="s">
        <v>20</v>
      </c>
      <c r="E63" s="62">
        <v>1</v>
      </c>
      <c r="F63" s="85">
        <v>359956.55</v>
      </c>
      <c r="G63" s="65">
        <f t="shared" si="0"/>
        <v>359956.55</v>
      </c>
    </row>
    <row r="64" spans="1:8" ht="15.6" x14ac:dyDescent="0.3">
      <c r="A64" s="15">
        <v>60</v>
      </c>
      <c r="B64" s="76"/>
      <c r="C64" s="11" t="s">
        <v>62</v>
      </c>
      <c r="D64" s="6" t="s">
        <v>20</v>
      </c>
      <c r="E64" s="7">
        <v>1</v>
      </c>
      <c r="F64" s="83">
        <v>59153.114999999998</v>
      </c>
      <c r="G64" s="23">
        <f t="shared" si="0"/>
        <v>59153.120000000003</v>
      </c>
    </row>
    <row r="65" spans="1:8" s="2" customFormat="1" ht="15.6" x14ac:dyDescent="0.3">
      <c r="A65" s="15">
        <v>61</v>
      </c>
      <c r="B65" s="78"/>
      <c r="C65" s="66" t="s">
        <v>167</v>
      </c>
      <c r="D65" s="62" t="s">
        <v>20</v>
      </c>
      <c r="E65" s="62">
        <v>1</v>
      </c>
      <c r="F65" s="85">
        <v>159980.69</v>
      </c>
      <c r="G65" s="63">
        <f t="shared" si="0"/>
        <v>159980.69</v>
      </c>
      <c r="H65" s="82"/>
    </row>
    <row r="66" spans="1:8" ht="62.4" x14ac:dyDescent="0.3">
      <c r="A66" s="15">
        <v>62</v>
      </c>
      <c r="B66" s="76" t="s">
        <v>65</v>
      </c>
      <c r="C66" s="10" t="s">
        <v>176</v>
      </c>
      <c r="D66" s="6" t="s">
        <v>20</v>
      </c>
      <c r="E66" s="7">
        <v>1</v>
      </c>
      <c r="F66" s="83">
        <v>121270.5336</v>
      </c>
      <c r="G66" s="23">
        <f t="shared" si="0"/>
        <v>121270.53</v>
      </c>
    </row>
    <row r="67" spans="1:8" ht="15.6" x14ac:dyDescent="0.3">
      <c r="A67" s="15">
        <v>63</v>
      </c>
      <c r="B67" s="76"/>
      <c r="C67" s="67" t="s">
        <v>46</v>
      </c>
      <c r="D67" s="62" t="s">
        <v>20</v>
      </c>
      <c r="E67" s="62">
        <v>1</v>
      </c>
      <c r="F67" s="85">
        <v>479942.06</v>
      </c>
      <c r="G67" s="65">
        <f t="shared" si="0"/>
        <v>479942.06</v>
      </c>
    </row>
    <row r="68" spans="1:8" ht="15.6" x14ac:dyDescent="0.3">
      <c r="A68" s="15">
        <v>64</v>
      </c>
      <c r="B68" s="76"/>
      <c r="C68" s="10" t="s">
        <v>64</v>
      </c>
      <c r="D68" s="6" t="s">
        <v>20</v>
      </c>
      <c r="E68" s="7">
        <v>1</v>
      </c>
      <c r="F68" s="83">
        <v>125541.6204</v>
      </c>
      <c r="G68" s="23">
        <f t="shared" si="0"/>
        <v>125541.62</v>
      </c>
    </row>
    <row r="69" spans="1:8" s="2" customFormat="1" ht="15.6" x14ac:dyDescent="0.3">
      <c r="A69" s="15">
        <v>65</v>
      </c>
      <c r="B69" s="78"/>
      <c r="C69" s="66" t="s">
        <v>167</v>
      </c>
      <c r="D69" s="62" t="s">
        <v>20</v>
      </c>
      <c r="E69" s="62">
        <v>1</v>
      </c>
      <c r="F69" s="85">
        <v>159980.69</v>
      </c>
      <c r="G69" s="63">
        <f t="shared" ref="G69:G132" si="1">ROUND(E69*F69,2)</f>
        <v>159980.69</v>
      </c>
      <c r="H69" s="82"/>
    </row>
    <row r="70" spans="1:8" ht="46.8" x14ac:dyDescent="0.3">
      <c r="A70" s="15">
        <v>66</v>
      </c>
      <c r="B70" s="76" t="s">
        <v>68</v>
      </c>
      <c r="C70" s="10" t="s">
        <v>177</v>
      </c>
      <c r="D70" s="6" t="s">
        <v>20</v>
      </c>
      <c r="E70" s="7">
        <v>1</v>
      </c>
      <c r="F70" s="83">
        <v>97865.450400000002</v>
      </c>
      <c r="G70" s="23">
        <f t="shared" si="1"/>
        <v>97865.45</v>
      </c>
    </row>
    <row r="71" spans="1:8" ht="15.6" x14ac:dyDescent="0.3">
      <c r="A71" s="15">
        <v>67</v>
      </c>
      <c r="B71" s="76"/>
      <c r="C71" s="67" t="s">
        <v>66</v>
      </c>
      <c r="D71" s="62" t="s">
        <v>20</v>
      </c>
      <c r="E71" s="62">
        <v>1</v>
      </c>
      <c r="F71" s="85">
        <v>359956.55</v>
      </c>
      <c r="G71" s="65">
        <f t="shared" si="1"/>
        <v>359956.55</v>
      </c>
    </row>
    <row r="72" spans="1:8" ht="15.6" x14ac:dyDescent="0.3">
      <c r="A72" s="15">
        <v>68</v>
      </c>
      <c r="B72" s="76"/>
      <c r="C72" s="64" t="s">
        <v>35</v>
      </c>
      <c r="D72" s="62" t="s">
        <v>20</v>
      </c>
      <c r="E72" s="62">
        <v>1</v>
      </c>
      <c r="F72" s="85">
        <v>63992.28</v>
      </c>
      <c r="G72" s="65">
        <f t="shared" si="1"/>
        <v>63992.28</v>
      </c>
    </row>
    <row r="73" spans="1:8" ht="15.6" x14ac:dyDescent="0.3">
      <c r="A73" s="15">
        <v>69</v>
      </c>
      <c r="B73" s="76"/>
      <c r="C73" s="4" t="s">
        <v>67</v>
      </c>
      <c r="D73" s="6" t="s">
        <v>20</v>
      </c>
      <c r="E73" s="7">
        <v>1</v>
      </c>
      <c r="F73" s="83">
        <v>64801.262999999999</v>
      </c>
      <c r="G73" s="23">
        <f t="shared" si="1"/>
        <v>64801.26</v>
      </c>
    </row>
    <row r="74" spans="1:8" s="2" customFormat="1" ht="15.6" x14ac:dyDescent="0.3">
      <c r="A74" s="15">
        <v>70</v>
      </c>
      <c r="B74" s="78"/>
      <c r="C74" s="66" t="s">
        <v>167</v>
      </c>
      <c r="D74" s="62" t="s">
        <v>20</v>
      </c>
      <c r="E74" s="62">
        <v>1</v>
      </c>
      <c r="F74" s="85">
        <v>159980.69</v>
      </c>
      <c r="G74" s="63">
        <f t="shared" si="1"/>
        <v>159980.69</v>
      </c>
      <c r="H74" s="82"/>
    </row>
    <row r="75" spans="1:8" ht="62.4" x14ac:dyDescent="0.3">
      <c r="A75" s="15">
        <v>71</v>
      </c>
      <c r="B75" s="76" t="s">
        <v>70</v>
      </c>
      <c r="C75" s="10" t="s">
        <v>178</v>
      </c>
      <c r="D75" s="6" t="s">
        <v>20</v>
      </c>
      <c r="E75" s="7">
        <v>1</v>
      </c>
      <c r="F75" s="83">
        <v>2326026.105</v>
      </c>
      <c r="G75" s="23">
        <f t="shared" si="1"/>
        <v>2326026.11</v>
      </c>
    </row>
    <row r="76" spans="1:8" ht="15.6" x14ac:dyDescent="0.3">
      <c r="A76" s="15">
        <v>72</v>
      </c>
      <c r="B76" s="76"/>
      <c r="C76" s="61" t="s">
        <v>33</v>
      </c>
      <c r="D76" s="62" t="s">
        <v>20</v>
      </c>
      <c r="E76" s="62">
        <v>1</v>
      </c>
      <c r="F76" s="85">
        <v>479942.06</v>
      </c>
      <c r="G76" s="65">
        <f t="shared" si="1"/>
        <v>479942.06</v>
      </c>
    </row>
    <row r="77" spans="1:8" ht="15.6" x14ac:dyDescent="0.3">
      <c r="A77" s="15">
        <v>73</v>
      </c>
      <c r="B77" s="76"/>
      <c r="C77" s="11" t="s">
        <v>69</v>
      </c>
      <c r="D77" s="6" t="s">
        <v>20</v>
      </c>
      <c r="E77" s="7">
        <v>1</v>
      </c>
      <c r="F77" s="83">
        <v>1535813.8470000001</v>
      </c>
      <c r="G77" s="23">
        <f t="shared" si="1"/>
        <v>1535813.85</v>
      </c>
    </row>
    <row r="78" spans="1:8" ht="15.6" x14ac:dyDescent="0.3">
      <c r="A78" s="15">
        <v>74</v>
      </c>
      <c r="B78" s="76"/>
      <c r="C78" s="66" t="s">
        <v>167</v>
      </c>
      <c r="D78" s="62" t="s">
        <v>20</v>
      </c>
      <c r="E78" s="62">
        <v>1</v>
      </c>
      <c r="F78" s="85">
        <v>159980.69</v>
      </c>
      <c r="G78" s="65">
        <f t="shared" si="1"/>
        <v>159980.69</v>
      </c>
    </row>
    <row r="79" spans="1:8" ht="62.4" x14ac:dyDescent="0.3">
      <c r="A79" s="15">
        <v>75</v>
      </c>
      <c r="B79" s="76" t="s">
        <v>181</v>
      </c>
      <c r="C79" s="10" t="s">
        <v>179</v>
      </c>
      <c r="D79" s="6" t="s">
        <v>20</v>
      </c>
      <c r="E79" s="7">
        <v>4</v>
      </c>
      <c r="F79" s="83">
        <v>1745702.919</v>
      </c>
      <c r="G79" s="23">
        <f t="shared" si="1"/>
        <v>6982811.6799999997</v>
      </c>
    </row>
    <row r="80" spans="1:8" ht="15.6" x14ac:dyDescent="0.3">
      <c r="A80" s="15">
        <v>76</v>
      </c>
      <c r="B80" s="76"/>
      <c r="C80" s="61" t="s">
        <v>49</v>
      </c>
      <c r="D80" s="62" t="s">
        <v>20</v>
      </c>
      <c r="E80" s="62">
        <v>4</v>
      </c>
      <c r="F80" s="85">
        <v>479942.06</v>
      </c>
      <c r="G80" s="65">
        <f t="shared" si="1"/>
        <v>1919768.24</v>
      </c>
    </row>
    <row r="81" spans="1:8" ht="15.6" x14ac:dyDescent="0.3">
      <c r="A81" s="15">
        <v>77</v>
      </c>
      <c r="B81" s="76"/>
      <c r="C81" s="10" t="s">
        <v>180</v>
      </c>
      <c r="D81" s="6" t="s">
        <v>20</v>
      </c>
      <c r="E81" s="7">
        <v>4</v>
      </c>
      <c r="F81" s="83">
        <v>1544506.389</v>
      </c>
      <c r="G81" s="23">
        <f t="shared" si="1"/>
        <v>6178025.5599999996</v>
      </c>
    </row>
    <row r="82" spans="1:8" s="2" customFormat="1" ht="15.6" x14ac:dyDescent="0.3">
      <c r="A82" s="15">
        <v>78</v>
      </c>
      <c r="B82" s="78"/>
      <c r="C82" s="66" t="s">
        <v>161</v>
      </c>
      <c r="D82" s="62" t="s">
        <v>20</v>
      </c>
      <c r="E82" s="62">
        <v>4</v>
      </c>
      <c r="F82" s="85">
        <v>159980.69</v>
      </c>
      <c r="G82" s="63">
        <f t="shared" si="1"/>
        <v>639922.76</v>
      </c>
      <c r="H82" s="82"/>
    </row>
    <row r="83" spans="1:8" ht="78" x14ac:dyDescent="0.3">
      <c r="A83" s="15">
        <v>79</v>
      </c>
      <c r="B83" s="76" t="s">
        <v>72</v>
      </c>
      <c r="C83" s="4" t="s">
        <v>182</v>
      </c>
      <c r="D83" s="6" t="s">
        <v>20</v>
      </c>
      <c r="E83" s="7">
        <v>1</v>
      </c>
      <c r="F83" s="83">
        <v>695238.89520000003</v>
      </c>
      <c r="G83" s="23">
        <f t="shared" si="1"/>
        <v>695238.9</v>
      </c>
    </row>
    <row r="84" spans="1:8" ht="15.6" x14ac:dyDescent="0.3">
      <c r="A84" s="15">
        <v>80</v>
      </c>
      <c r="B84" s="76"/>
      <c r="C84" s="61" t="s">
        <v>33</v>
      </c>
      <c r="D84" s="62" t="s">
        <v>20</v>
      </c>
      <c r="E84" s="62">
        <v>1</v>
      </c>
      <c r="F84" s="85">
        <v>719913.1</v>
      </c>
      <c r="G84" s="65">
        <f t="shared" si="1"/>
        <v>719913.1</v>
      </c>
    </row>
    <row r="85" spans="1:8" ht="15.6" x14ac:dyDescent="0.3">
      <c r="A85" s="15">
        <v>81</v>
      </c>
      <c r="B85" s="76"/>
      <c r="C85" s="10" t="s">
        <v>71</v>
      </c>
      <c r="D85" s="6" t="s">
        <v>20</v>
      </c>
      <c r="E85" s="7">
        <v>1</v>
      </c>
      <c r="F85" s="83">
        <v>107298.37980000001</v>
      </c>
      <c r="G85" s="23">
        <f t="shared" si="1"/>
        <v>107298.38</v>
      </c>
    </row>
    <row r="86" spans="1:8" s="2" customFormat="1" ht="15.6" x14ac:dyDescent="0.3">
      <c r="A86" s="15">
        <v>82</v>
      </c>
      <c r="B86" s="78"/>
      <c r="C86" s="66" t="s">
        <v>167</v>
      </c>
      <c r="D86" s="62" t="s">
        <v>20</v>
      </c>
      <c r="E86" s="62">
        <v>1</v>
      </c>
      <c r="F86" s="85">
        <v>159980.69</v>
      </c>
      <c r="G86" s="63">
        <f t="shared" si="1"/>
        <v>159980.69</v>
      </c>
      <c r="H86" s="82"/>
    </row>
    <row r="87" spans="1:8" ht="78" x14ac:dyDescent="0.3">
      <c r="A87" s="15">
        <v>83</v>
      </c>
      <c r="B87" s="76" t="s">
        <v>184</v>
      </c>
      <c r="C87" s="10" t="s">
        <v>183</v>
      </c>
      <c r="D87" s="6" t="s">
        <v>20</v>
      </c>
      <c r="E87" s="7">
        <v>1</v>
      </c>
      <c r="F87" s="83">
        <v>124774.9884</v>
      </c>
      <c r="G87" s="23">
        <f t="shared" si="1"/>
        <v>124774.99</v>
      </c>
    </row>
    <row r="88" spans="1:8" ht="15.6" x14ac:dyDescent="0.3">
      <c r="A88" s="15">
        <v>84</v>
      </c>
      <c r="B88" s="76"/>
      <c r="C88" s="61" t="s">
        <v>33</v>
      </c>
      <c r="D88" s="62" t="s">
        <v>20</v>
      </c>
      <c r="E88" s="62">
        <v>1</v>
      </c>
      <c r="F88" s="85">
        <v>719913.1</v>
      </c>
      <c r="G88" s="65">
        <f t="shared" si="1"/>
        <v>719913.1</v>
      </c>
    </row>
    <row r="89" spans="1:8" ht="15.6" x14ac:dyDescent="0.3">
      <c r="A89" s="15">
        <v>85</v>
      </c>
      <c r="B89" s="76"/>
      <c r="C89" s="10" t="s">
        <v>73</v>
      </c>
      <c r="D89" s="6" t="s">
        <v>20</v>
      </c>
      <c r="E89" s="7">
        <v>1</v>
      </c>
      <c r="F89" s="83">
        <v>149121.40919999999</v>
      </c>
      <c r="G89" s="23">
        <f t="shared" si="1"/>
        <v>149121.41</v>
      </c>
    </row>
    <row r="90" spans="1:8" s="2" customFormat="1" ht="15.6" x14ac:dyDescent="0.3">
      <c r="A90" s="15">
        <v>86</v>
      </c>
      <c r="B90" s="78"/>
      <c r="C90" s="66" t="s">
        <v>167</v>
      </c>
      <c r="D90" s="62" t="s">
        <v>20</v>
      </c>
      <c r="E90" s="62">
        <v>1</v>
      </c>
      <c r="F90" s="85">
        <v>159980.69</v>
      </c>
      <c r="G90" s="63">
        <f t="shared" si="1"/>
        <v>159980.69</v>
      </c>
      <c r="H90" s="82"/>
    </row>
    <row r="91" spans="1:8" ht="62.4" x14ac:dyDescent="0.3">
      <c r="A91" s="15">
        <v>87</v>
      </c>
      <c r="B91" s="76" t="s">
        <v>75</v>
      </c>
      <c r="C91" s="10" t="s">
        <v>185</v>
      </c>
      <c r="D91" s="6" t="s">
        <v>20</v>
      </c>
      <c r="E91" s="7">
        <v>1</v>
      </c>
      <c r="F91" s="83">
        <v>337794.50160000002</v>
      </c>
      <c r="G91" s="23">
        <f t="shared" si="1"/>
        <v>337794.5</v>
      </c>
    </row>
    <row r="92" spans="1:8" ht="15.6" x14ac:dyDescent="0.3">
      <c r="A92" s="15">
        <v>88</v>
      </c>
      <c r="B92" s="76"/>
      <c r="C92" s="61" t="s">
        <v>33</v>
      </c>
      <c r="D92" s="62" t="s">
        <v>20</v>
      </c>
      <c r="E92" s="62">
        <v>1</v>
      </c>
      <c r="F92" s="85">
        <v>479942.06</v>
      </c>
      <c r="G92" s="65">
        <f t="shared" si="1"/>
        <v>479942.06</v>
      </c>
    </row>
    <row r="93" spans="1:8" ht="15.6" x14ac:dyDescent="0.3">
      <c r="A93" s="15">
        <v>89</v>
      </c>
      <c r="B93" s="76"/>
      <c r="C93" s="4" t="s">
        <v>74</v>
      </c>
      <c r="D93" s="6" t="s">
        <v>20</v>
      </c>
      <c r="E93" s="7">
        <v>1</v>
      </c>
      <c r="F93" s="83">
        <v>91000.69739999999</v>
      </c>
      <c r="G93" s="23">
        <f t="shared" si="1"/>
        <v>91000.7</v>
      </c>
    </row>
    <row r="94" spans="1:8" s="2" customFormat="1" ht="15.6" x14ac:dyDescent="0.3">
      <c r="A94" s="15">
        <v>90</v>
      </c>
      <c r="B94" s="78"/>
      <c r="C94" s="66" t="s">
        <v>167</v>
      </c>
      <c r="D94" s="62" t="s">
        <v>20</v>
      </c>
      <c r="E94" s="62">
        <v>1</v>
      </c>
      <c r="F94" s="85">
        <v>159980.69</v>
      </c>
      <c r="G94" s="63">
        <f t="shared" si="1"/>
        <v>159980.69</v>
      </c>
      <c r="H94" s="82"/>
    </row>
    <row r="95" spans="1:8" ht="78" x14ac:dyDescent="0.3">
      <c r="A95" s="15">
        <v>91</v>
      </c>
      <c r="B95" s="76" t="s">
        <v>77</v>
      </c>
      <c r="C95" s="4" t="s">
        <v>186</v>
      </c>
      <c r="D95" s="6" t="s">
        <v>20</v>
      </c>
      <c r="E95" s="7">
        <v>2</v>
      </c>
      <c r="F95" s="83">
        <v>2918227.1808000002</v>
      </c>
      <c r="G95" s="23">
        <f t="shared" si="1"/>
        <v>5836454.3600000003</v>
      </c>
    </row>
    <row r="96" spans="1:8" ht="15.6" x14ac:dyDescent="0.3">
      <c r="A96" s="15">
        <v>92</v>
      </c>
      <c r="B96" s="76"/>
      <c r="C96" s="61" t="s">
        <v>49</v>
      </c>
      <c r="D96" s="62" t="s">
        <v>20</v>
      </c>
      <c r="E96" s="62">
        <v>2</v>
      </c>
      <c r="F96" s="85">
        <v>479942.06</v>
      </c>
      <c r="G96" s="65">
        <f t="shared" si="1"/>
        <v>959884.12</v>
      </c>
    </row>
    <row r="97" spans="1:8" ht="15.6" x14ac:dyDescent="0.3">
      <c r="A97" s="15">
        <v>93</v>
      </c>
      <c r="B97" s="76"/>
      <c r="C97" s="4" t="s">
        <v>76</v>
      </c>
      <c r="D97" s="6" t="s">
        <v>20</v>
      </c>
      <c r="E97" s="7">
        <v>2</v>
      </c>
      <c r="F97" s="83">
        <v>201849.6666</v>
      </c>
      <c r="G97" s="23">
        <f t="shared" si="1"/>
        <v>403699.33</v>
      </c>
    </row>
    <row r="98" spans="1:8" s="2" customFormat="1" ht="15.6" x14ac:dyDescent="0.3">
      <c r="A98" s="15">
        <v>94</v>
      </c>
      <c r="B98" s="78"/>
      <c r="C98" s="66" t="s">
        <v>161</v>
      </c>
      <c r="D98" s="62" t="s">
        <v>20</v>
      </c>
      <c r="E98" s="62">
        <v>2</v>
      </c>
      <c r="F98" s="85">
        <v>159980.69</v>
      </c>
      <c r="G98" s="63">
        <f t="shared" si="1"/>
        <v>319961.38</v>
      </c>
      <c r="H98" s="82"/>
    </row>
    <row r="99" spans="1:8" ht="78" x14ac:dyDescent="0.3">
      <c r="A99" s="15">
        <v>95</v>
      </c>
      <c r="B99" s="76" t="s">
        <v>187</v>
      </c>
      <c r="C99" s="4" t="s">
        <v>186</v>
      </c>
      <c r="D99" s="6" t="s">
        <v>20</v>
      </c>
      <c r="E99" s="7">
        <v>3</v>
      </c>
      <c r="F99" s="83">
        <v>2918227.1808000002</v>
      </c>
      <c r="G99" s="23">
        <f t="shared" si="1"/>
        <v>8754681.5399999991</v>
      </c>
    </row>
    <row r="100" spans="1:8" ht="15.6" x14ac:dyDescent="0.3">
      <c r="A100" s="15">
        <v>96</v>
      </c>
      <c r="B100" s="76"/>
      <c r="C100" s="61" t="s">
        <v>49</v>
      </c>
      <c r="D100" s="62" t="s">
        <v>20</v>
      </c>
      <c r="E100" s="62">
        <v>3</v>
      </c>
      <c r="F100" s="85">
        <v>479942.06</v>
      </c>
      <c r="G100" s="65">
        <f t="shared" si="1"/>
        <v>1439826.18</v>
      </c>
    </row>
    <row r="101" spans="1:8" ht="15.6" x14ac:dyDescent="0.3">
      <c r="A101" s="15">
        <v>97</v>
      </c>
      <c r="B101" s="76"/>
      <c r="C101" s="4" t="s">
        <v>78</v>
      </c>
      <c r="D101" s="6" t="s">
        <v>20</v>
      </c>
      <c r="E101" s="7">
        <v>3</v>
      </c>
      <c r="F101" s="83">
        <v>201849.6666</v>
      </c>
      <c r="G101" s="23">
        <f t="shared" si="1"/>
        <v>605549</v>
      </c>
    </row>
    <row r="102" spans="1:8" s="2" customFormat="1" ht="15.6" x14ac:dyDescent="0.3">
      <c r="A102" s="15">
        <v>98</v>
      </c>
      <c r="B102" s="78"/>
      <c r="C102" s="66" t="s">
        <v>161</v>
      </c>
      <c r="D102" s="62" t="s">
        <v>20</v>
      </c>
      <c r="E102" s="62">
        <v>3</v>
      </c>
      <c r="F102" s="85">
        <v>159980.69</v>
      </c>
      <c r="G102" s="63">
        <f t="shared" si="1"/>
        <v>479942.07</v>
      </c>
      <c r="H102" s="82"/>
    </row>
    <row r="103" spans="1:8" ht="78" x14ac:dyDescent="0.3">
      <c r="A103" s="15">
        <v>99</v>
      </c>
      <c r="B103" s="76" t="s">
        <v>188</v>
      </c>
      <c r="C103" s="4" t="s">
        <v>189</v>
      </c>
      <c r="D103" s="6" t="s">
        <v>20</v>
      </c>
      <c r="E103" s="7">
        <v>3</v>
      </c>
      <c r="F103" s="83">
        <v>7426778.1918000001</v>
      </c>
      <c r="G103" s="23">
        <f t="shared" si="1"/>
        <v>22280334.579999998</v>
      </c>
    </row>
    <row r="104" spans="1:8" ht="15.6" x14ac:dyDescent="0.3">
      <c r="A104" s="15">
        <v>100</v>
      </c>
      <c r="B104" s="76"/>
      <c r="C104" s="61" t="s">
        <v>49</v>
      </c>
      <c r="D104" s="62" t="s">
        <v>20</v>
      </c>
      <c r="E104" s="62">
        <v>3</v>
      </c>
      <c r="F104" s="85">
        <v>479942.06</v>
      </c>
      <c r="G104" s="65">
        <f t="shared" si="1"/>
        <v>1439826.18</v>
      </c>
    </row>
    <row r="105" spans="1:8" ht="15.6" x14ac:dyDescent="0.3">
      <c r="A105" s="15">
        <v>101</v>
      </c>
      <c r="B105" s="76"/>
      <c r="C105" s="10" t="s">
        <v>79</v>
      </c>
      <c r="D105" s="6" t="s">
        <v>20</v>
      </c>
      <c r="E105" s="7">
        <v>3</v>
      </c>
      <c r="F105" s="83">
        <v>390656.52180000005</v>
      </c>
      <c r="G105" s="23">
        <f t="shared" si="1"/>
        <v>1171969.57</v>
      </c>
    </row>
    <row r="106" spans="1:8" s="2" customFormat="1" ht="15.6" x14ac:dyDescent="0.3">
      <c r="A106" s="15">
        <v>102</v>
      </c>
      <c r="B106" s="78"/>
      <c r="C106" s="66" t="s">
        <v>161</v>
      </c>
      <c r="D106" s="62" t="s">
        <v>20</v>
      </c>
      <c r="E106" s="62">
        <v>3</v>
      </c>
      <c r="F106" s="85">
        <v>159980.69</v>
      </c>
      <c r="G106" s="63">
        <f t="shared" si="1"/>
        <v>479942.07</v>
      </c>
      <c r="H106" s="82"/>
    </row>
    <row r="107" spans="1:8" ht="62.4" x14ac:dyDescent="0.3">
      <c r="A107" s="15">
        <v>103</v>
      </c>
      <c r="B107" s="76" t="s">
        <v>80</v>
      </c>
      <c r="C107" s="4" t="s">
        <v>190</v>
      </c>
      <c r="D107" s="6" t="s">
        <v>20</v>
      </c>
      <c r="E107" s="7">
        <v>2</v>
      </c>
      <c r="F107" s="83">
        <v>238917.52739999999</v>
      </c>
      <c r="G107" s="23">
        <f t="shared" si="1"/>
        <v>477835.05</v>
      </c>
    </row>
    <row r="108" spans="1:8" ht="15.6" x14ac:dyDescent="0.3">
      <c r="A108" s="15">
        <v>104</v>
      </c>
      <c r="B108" s="76"/>
      <c r="C108" s="67" t="s">
        <v>191</v>
      </c>
      <c r="D108" s="62" t="s">
        <v>20</v>
      </c>
      <c r="E108" s="62">
        <v>2</v>
      </c>
      <c r="F108" s="85">
        <v>359956.55</v>
      </c>
      <c r="G108" s="65">
        <f t="shared" si="1"/>
        <v>719913.1</v>
      </c>
    </row>
    <row r="109" spans="1:8" ht="15.6" x14ac:dyDescent="0.3">
      <c r="A109" s="15">
        <v>105</v>
      </c>
      <c r="B109" s="76"/>
      <c r="C109" s="64" t="s">
        <v>192</v>
      </c>
      <c r="D109" s="62" t="s">
        <v>20</v>
      </c>
      <c r="E109" s="62">
        <v>2</v>
      </c>
      <c r="F109" s="85">
        <v>63992.28</v>
      </c>
      <c r="G109" s="65">
        <f t="shared" si="1"/>
        <v>127984.56</v>
      </c>
    </row>
    <row r="110" spans="1:8" ht="15.6" x14ac:dyDescent="0.3">
      <c r="A110" s="15">
        <v>106</v>
      </c>
      <c r="B110" s="76"/>
      <c r="C110" s="4" t="s">
        <v>81</v>
      </c>
      <c r="D110" s="6" t="s">
        <v>20</v>
      </c>
      <c r="E110" s="7">
        <v>2</v>
      </c>
      <c r="F110" s="83">
        <v>201849.6666</v>
      </c>
      <c r="G110" s="23">
        <f t="shared" si="1"/>
        <v>403699.33</v>
      </c>
    </row>
    <row r="111" spans="1:8" s="2" customFormat="1" ht="15.6" x14ac:dyDescent="0.3">
      <c r="A111" s="15">
        <v>107</v>
      </c>
      <c r="B111" s="78"/>
      <c r="C111" s="66" t="s">
        <v>161</v>
      </c>
      <c r="D111" s="62" t="s">
        <v>20</v>
      </c>
      <c r="E111" s="62">
        <v>2</v>
      </c>
      <c r="F111" s="85">
        <v>159980.69</v>
      </c>
      <c r="G111" s="63">
        <f t="shared" si="1"/>
        <v>319961.38</v>
      </c>
      <c r="H111" s="82"/>
    </row>
    <row r="112" spans="1:8" ht="82.5" customHeight="1" x14ac:dyDescent="0.3">
      <c r="A112" s="15">
        <v>108</v>
      </c>
      <c r="B112" s="76" t="s">
        <v>83</v>
      </c>
      <c r="C112" s="10" t="s">
        <v>193</v>
      </c>
      <c r="D112" s="6" t="s">
        <v>20</v>
      </c>
      <c r="E112" s="7">
        <v>1</v>
      </c>
      <c r="F112" s="83">
        <v>18963.330000000002</v>
      </c>
      <c r="G112" s="23">
        <f t="shared" si="1"/>
        <v>18963.330000000002</v>
      </c>
    </row>
    <row r="113" spans="1:8" ht="15.6" x14ac:dyDescent="0.3">
      <c r="A113" s="15">
        <v>109</v>
      </c>
      <c r="B113" s="76"/>
      <c r="C113" s="67" t="s">
        <v>46</v>
      </c>
      <c r="D113" s="62" t="s">
        <v>20</v>
      </c>
      <c r="E113" s="62">
        <v>1</v>
      </c>
      <c r="F113" s="85">
        <v>479942.06</v>
      </c>
      <c r="G113" s="65">
        <f t="shared" si="1"/>
        <v>479942.06</v>
      </c>
    </row>
    <row r="114" spans="1:8" ht="15.6" x14ac:dyDescent="0.3">
      <c r="A114" s="15">
        <v>110</v>
      </c>
      <c r="B114" s="76"/>
      <c r="C114" s="4" t="s">
        <v>82</v>
      </c>
      <c r="D114" s="6" t="s">
        <v>20</v>
      </c>
      <c r="E114" s="7">
        <v>1</v>
      </c>
      <c r="F114" s="83">
        <v>83355.522000000012</v>
      </c>
      <c r="G114" s="23">
        <f t="shared" si="1"/>
        <v>83355.520000000004</v>
      </c>
    </row>
    <row r="115" spans="1:8" s="2" customFormat="1" ht="15.6" x14ac:dyDescent="0.3">
      <c r="A115" s="15">
        <v>111</v>
      </c>
      <c r="B115" s="78"/>
      <c r="C115" s="66" t="s">
        <v>167</v>
      </c>
      <c r="D115" s="62" t="s">
        <v>20</v>
      </c>
      <c r="E115" s="62">
        <v>1</v>
      </c>
      <c r="F115" s="85">
        <v>159980.69</v>
      </c>
      <c r="G115" s="63">
        <f t="shared" si="1"/>
        <v>159980.69</v>
      </c>
      <c r="H115" s="82"/>
    </row>
    <row r="116" spans="1:8" ht="71.25" customHeight="1" x14ac:dyDescent="0.3">
      <c r="A116" s="15">
        <v>112</v>
      </c>
      <c r="B116" s="76" t="s">
        <v>85</v>
      </c>
      <c r="C116" s="4" t="s">
        <v>194</v>
      </c>
      <c r="D116" s="6" t="s">
        <v>20</v>
      </c>
      <c r="E116" s="7">
        <v>1</v>
      </c>
      <c r="F116" s="83">
        <v>21269.3256</v>
      </c>
      <c r="G116" s="23">
        <f t="shared" si="1"/>
        <v>21269.33</v>
      </c>
    </row>
    <row r="117" spans="1:8" ht="15.6" x14ac:dyDescent="0.3">
      <c r="A117" s="15">
        <v>113</v>
      </c>
      <c r="B117" s="76"/>
      <c r="C117" s="67" t="s">
        <v>46</v>
      </c>
      <c r="D117" s="62" t="s">
        <v>20</v>
      </c>
      <c r="E117" s="62">
        <v>1</v>
      </c>
      <c r="F117" s="85">
        <v>479942.06</v>
      </c>
      <c r="G117" s="65">
        <f t="shared" si="1"/>
        <v>479942.06</v>
      </c>
    </row>
    <row r="118" spans="1:8" ht="15.6" x14ac:dyDescent="0.3">
      <c r="A118" s="15">
        <v>114</v>
      </c>
      <c r="B118" s="76"/>
      <c r="C118" s="11" t="s">
        <v>84</v>
      </c>
      <c r="D118" s="6" t="s">
        <v>20</v>
      </c>
      <c r="E118" s="7">
        <v>1</v>
      </c>
      <c r="F118" s="83">
        <v>83355.522000000012</v>
      </c>
      <c r="G118" s="23">
        <f t="shared" si="1"/>
        <v>83355.520000000004</v>
      </c>
    </row>
    <row r="119" spans="1:8" ht="15.6" x14ac:dyDescent="0.3">
      <c r="A119" s="15">
        <v>115</v>
      </c>
      <c r="B119" s="76"/>
      <c r="C119" s="66" t="s">
        <v>167</v>
      </c>
      <c r="D119" s="62" t="s">
        <v>20</v>
      </c>
      <c r="E119" s="62">
        <v>1</v>
      </c>
      <c r="F119" s="85">
        <v>159980.69</v>
      </c>
      <c r="G119" s="65">
        <f t="shared" si="1"/>
        <v>159980.69</v>
      </c>
    </row>
    <row r="120" spans="1:8" ht="62.4" x14ac:dyDescent="0.3">
      <c r="A120" s="15">
        <v>116</v>
      </c>
      <c r="B120" s="76" t="s">
        <v>86</v>
      </c>
      <c r="C120" s="4" t="s">
        <v>195</v>
      </c>
      <c r="D120" s="6" t="s">
        <v>20</v>
      </c>
      <c r="E120" s="7">
        <v>1</v>
      </c>
      <c r="F120" s="83">
        <v>20011.512600000002</v>
      </c>
      <c r="G120" s="23">
        <f t="shared" si="1"/>
        <v>20011.509999999998</v>
      </c>
    </row>
    <row r="121" spans="1:8" ht="15.6" x14ac:dyDescent="0.3">
      <c r="A121" s="15">
        <v>117</v>
      </c>
      <c r="B121" s="76"/>
      <c r="C121" s="67" t="s">
        <v>46</v>
      </c>
      <c r="D121" s="62" t="s">
        <v>20</v>
      </c>
      <c r="E121" s="62">
        <v>1</v>
      </c>
      <c r="F121" s="85">
        <v>479942.06</v>
      </c>
      <c r="G121" s="65">
        <f t="shared" si="1"/>
        <v>479942.06</v>
      </c>
    </row>
    <row r="122" spans="1:8" ht="15.6" x14ac:dyDescent="0.3">
      <c r="A122" s="15">
        <v>118</v>
      </c>
      <c r="B122" s="76"/>
      <c r="C122" s="4" t="s">
        <v>87</v>
      </c>
      <c r="D122" s="6" t="s">
        <v>20</v>
      </c>
      <c r="E122" s="7">
        <v>1</v>
      </c>
      <c r="F122" s="83">
        <v>83355.522000000012</v>
      </c>
      <c r="G122" s="23">
        <f t="shared" si="1"/>
        <v>83355.520000000004</v>
      </c>
    </row>
    <row r="123" spans="1:8" s="2" customFormat="1" ht="15.6" x14ac:dyDescent="0.3">
      <c r="A123" s="15">
        <v>119</v>
      </c>
      <c r="B123" s="78"/>
      <c r="C123" s="66" t="s">
        <v>167</v>
      </c>
      <c r="D123" s="62" t="s">
        <v>20</v>
      </c>
      <c r="E123" s="62">
        <v>1</v>
      </c>
      <c r="F123" s="85">
        <v>159980.69</v>
      </c>
      <c r="G123" s="63">
        <f t="shared" si="1"/>
        <v>159980.69</v>
      </c>
      <c r="H123" s="82"/>
    </row>
    <row r="124" spans="1:8" ht="62.4" x14ac:dyDescent="0.3">
      <c r="A124" s="15">
        <v>120</v>
      </c>
      <c r="B124" s="76" t="s">
        <v>89</v>
      </c>
      <c r="C124" s="4" t="s">
        <v>196</v>
      </c>
      <c r="D124" s="6" t="s">
        <v>20</v>
      </c>
      <c r="E124" s="7">
        <v>1</v>
      </c>
      <c r="F124" s="83">
        <v>17322.109199999999</v>
      </c>
      <c r="G124" s="23">
        <f t="shared" si="1"/>
        <v>17322.11</v>
      </c>
    </row>
    <row r="125" spans="1:8" ht="15.6" x14ac:dyDescent="0.3">
      <c r="A125" s="15">
        <v>121</v>
      </c>
      <c r="B125" s="76"/>
      <c r="C125" s="67" t="s">
        <v>46</v>
      </c>
      <c r="D125" s="62" t="s">
        <v>20</v>
      </c>
      <c r="E125" s="62">
        <v>1</v>
      </c>
      <c r="F125" s="85">
        <v>479942.06</v>
      </c>
      <c r="G125" s="65">
        <f t="shared" si="1"/>
        <v>479942.06</v>
      </c>
    </row>
    <row r="126" spans="1:8" ht="15.6" x14ac:dyDescent="0.3">
      <c r="A126" s="15">
        <v>122</v>
      </c>
      <c r="B126" s="76"/>
      <c r="C126" s="10" t="s">
        <v>88</v>
      </c>
      <c r="D126" s="6" t="s">
        <v>20</v>
      </c>
      <c r="E126" s="7">
        <v>1</v>
      </c>
      <c r="F126" s="83">
        <v>83355.522000000012</v>
      </c>
      <c r="G126" s="23">
        <f t="shared" si="1"/>
        <v>83355.520000000004</v>
      </c>
    </row>
    <row r="127" spans="1:8" s="2" customFormat="1" ht="15.6" x14ac:dyDescent="0.3">
      <c r="A127" s="15">
        <v>123</v>
      </c>
      <c r="B127" s="78"/>
      <c r="C127" s="66" t="s">
        <v>167</v>
      </c>
      <c r="D127" s="62" t="s">
        <v>20</v>
      </c>
      <c r="E127" s="62">
        <v>1</v>
      </c>
      <c r="F127" s="85">
        <v>159980.69</v>
      </c>
      <c r="G127" s="63">
        <f t="shared" si="1"/>
        <v>159980.69</v>
      </c>
      <c r="H127" s="82"/>
    </row>
    <row r="128" spans="1:8" ht="78" x14ac:dyDescent="0.3">
      <c r="A128" s="15">
        <v>124</v>
      </c>
      <c r="B128" s="76" t="s">
        <v>198</v>
      </c>
      <c r="C128" s="4" t="s">
        <v>197</v>
      </c>
      <c r="D128" s="6" t="s">
        <v>20</v>
      </c>
      <c r="E128" s="7">
        <v>1</v>
      </c>
      <c r="F128" s="83">
        <v>805397.79360000009</v>
      </c>
      <c r="G128" s="23">
        <f t="shared" si="1"/>
        <v>805397.79</v>
      </c>
    </row>
    <row r="129" spans="1:8" ht="15.6" x14ac:dyDescent="0.3">
      <c r="A129" s="15">
        <v>125</v>
      </c>
      <c r="B129" s="76"/>
      <c r="C129" s="67" t="s">
        <v>46</v>
      </c>
      <c r="D129" s="62" t="s">
        <v>20</v>
      </c>
      <c r="E129" s="62">
        <v>1</v>
      </c>
      <c r="F129" s="85">
        <v>479942.06</v>
      </c>
      <c r="G129" s="65">
        <f t="shared" si="1"/>
        <v>479942.06</v>
      </c>
    </row>
    <row r="130" spans="1:8" ht="15.6" x14ac:dyDescent="0.3">
      <c r="A130" s="15">
        <v>126</v>
      </c>
      <c r="B130" s="76"/>
      <c r="C130" s="10" t="s">
        <v>202</v>
      </c>
      <c r="D130" s="6" t="s">
        <v>20</v>
      </c>
      <c r="E130" s="7">
        <v>1</v>
      </c>
      <c r="F130" s="83">
        <v>158901.60780000003</v>
      </c>
      <c r="G130" s="23">
        <f t="shared" si="1"/>
        <v>158901.60999999999</v>
      </c>
    </row>
    <row r="131" spans="1:8" s="2" customFormat="1" ht="15.6" x14ac:dyDescent="0.3">
      <c r="A131" s="15">
        <v>127</v>
      </c>
      <c r="B131" s="78"/>
      <c r="C131" s="66" t="s">
        <v>167</v>
      </c>
      <c r="D131" s="62" t="s">
        <v>20</v>
      </c>
      <c r="E131" s="62">
        <v>1</v>
      </c>
      <c r="F131" s="85">
        <v>159980.69</v>
      </c>
      <c r="G131" s="63">
        <f t="shared" si="1"/>
        <v>159980.69</v>
      </c>
      <c r="H131" s="82"/>
    </row>
    <row r="132" spans="1:8" s="2" customFormat="1" ht="109.2" x14ac:dyDescent="0.3">
      <c r="A132" s="15">
        <v>128</v>
      </c>
      <c r="B132" s="76" t="s">
        <v>199</v>
      </c>
      <c r="C132" s="4" t="s">
        <v>200</v>
      </c>
      <c r="D132" s="6" t="s">
        <v>20</v>
      </c>
      <c r="E132" s="7">
        <v>1</v>
      </c>
      <c r="F132" s="83">
        <v>727965.96239999996</v>
      </c>
      <c r="G132" s="25">
        <f t="shared" si="1"/>
        <v>727965.96</v>
      </c>
      <c r="H132" s="82"/>
    </row>
    <row r="133" spans="1:8" s="2" customFormat="1" ht="15.6" x14ac:dyDescent="0.3">
      <c r="A133" s="15">
        <v>129</v>
      </c>
      <c r="B133" s="76"/>
      <c r="C133" s="61" t="s">
        <v>33</v>
      </c>
      <c r="D133" s="62" t="s">
        <v>20</v>
      </c>
      <c r="E133" s="62">
        <v>1</v>
      </c>
      <c r="F133" s="85">
        <v>479942.06</v>
      </c>
      <c r="G133" s="63">
        <f t="shared" ref="G133:G196" si="2">ROUND(E133*F133,2)</f>
        <v>479942.06</v>
      </c>
      <c r="H133" s="82"/>
    </row>
    <row r="134" spans="1:8" s="2" customFormat="1" ht="15.6" x14ac:dyDescent="0.3">
      <c r="A134" s="15">
        <v>130</v>
      </c>
      <c r="B134" s="76"/>
      <c r="C134" s="4" t="s">
        <v>201</v>
      </c>
      <c r="D134" s="6" t="s">
        <v>20</v>
      </c>
      <c r="E134" s="7">
        <v>1</v>
      </c>
      <c r="F134" s="83">
        <v>170865.0042</v>
      </c>
      <c r="G134" s="25">
        <f t="shared" si="2"/>
        <v>170865</v>
      </c>
      <c r="H134" s="82"/>
    </row>
    <row r="135" spans="1:8" s="2" customFormat="1" ht="15.6" x14ac:dyDescent="0.3">
      <c r="A135" s="15">
        <v>131</v>
      </c>
      <c r="B135" s="78"/>
      <c r="C135" s="66" t="s">
        <v>167</v>
      </c>
      <c r="D135" s="62" t="s">
        <v>20</v>
      </c>
      <c r="E135" s="62">
        <v>1</v>
      </c>
      <c r="F135" s="85">
        <v>159980.69</v>
      </c>
      <c r="G135" s="63">
        <f t="shared" si="2"/>
        <v>159980.69</v>
      </c>
      <c r="H135" s="82"/>
    </row>
    <row r="136" spans="1:8" s="2" customFormat="1" ht="46.5" customHeight="1" x14ac:dyDescent="0.3">
      <c r="A136" s="15">
        <v>132</v>
      </c>
      <c r="B136" s="76" t="s">
        <v>91</v>
      </c>
      <c r="C136" s="4" t="s">
        <v>203</v>
      </c>
      <c r="D136" s="6" t="s">
        <v>20</v>
      </c>
      <c r="E136" s="7">
        <v>1</v>
      </c>
      <c r="F136" s="83">
        <v>97900.915799999988</v>
      </c>
      <c r="G136" s="25">
        <f t="shared" si="2"/>
        <v>97900.92</v>
      </c>
      <c r="H136" s="82"/>
    </row>
    <row r="137" spans="1:8" s="2" customFormat="1" ht="15.6" x14ac:dyDescent="0.3">
      <c r="A137" s="15">
        <v>133</v>
      </c>
      <c r="B137" s="76"/>
      <c r="C137" s="67" t="s">
        <v>66</v>
      </c>
      <c r="D137" s="62" t="s">
        <v>20</v>
      </c>
      <c r="E137" s="62">
        <v>1</v>
      </c>
      <c r="F137" s="85">
        <v>359956.55</v>
      </c>
      <c r="G137" s="63">
        <f t="shared" si="2"/>
        <v>359956.55</v>
      </c>
      <c r="H137" s="82"/>
    </row>
    <row r="138" spans="1:8" s="2" customFormat="1" ht="15.6" x14ac:dyDescent="0.3">
      <c r="A138" s="15">
        <v>134</v>
      </c>
      <c r="B138" s="76"/>
      <c r="C138" s="67" t="s">
        <v>35</v>
      </c>
      <c r="D138" s="62" t="s">
        <v>20</v>
      </c>
      <c r="E138" s="62">
        <v>1</v>
      </c>
      <c r="F138" s="85">
        <v>63992.28</v>
      </c>
      <c r="G138" s="63">
        <f t="shared" si="2"/>
        <v>63992.28</v>
      </c>
      <c r="H138" s="82"/>
    </row>
    <row r="139" spans="1:8" s="2" customFormat="1" ht="15.6" x14ac:dyDescent="0.3">
      <c r="A139" s="15">
        <v>135</v>
      </c>
      <c r="B139" s="76"/>
      <c r="C139" s="11" t="s">
        <v>90</v>
      </c>
      <c r="D139" s="6" t="s">
        <v>20</v>
      </c>
      <c r="E139" s="7">
        <v>1</v>
      </c>
      <c r="F139" s="83">
        <v>170865.0042</v>
      </c>
      <c r="G139" s="25">
        <f t="shared" si="2"/>
        <v>170865</v>
      </c>
      <c r="H139" s="82"/>
    </row>
    <row r="140" spans="1:8" s="2" customFormat="1" ht="15.6" x14ac:dyDescent="0.3">
      <c r="A140" s="15">
        <v>136</v>
      </c>
      <c r="B140" s="76"/>
      <c r="C140" s="66" t="s">
        <v>167</v>
      </c>
      <c r="D140" s="62" t="s">
        <v>20</v>
      </c>
      <c r="E140" s="62">
        <v>1</v>
      </c>
      <c r="F140" s="85">
        <v>159980.69</v>
      </c>
      <c r="G140" s="63">
        <f t="shared" si="2"/>
        <v>159980.69</v>
      </c>
      <c r="H140" s="82"/>
    </row>
    <row r="141" spans="1:8" ht="80.25" customHeight="1" x14ac:dyDescent="0.3">
      <c r="A141" s="15">
        <v>137</v>
      </c>
      <c r="B141" s="76" t="s">
        <v>93</v>
      </c>
      <c r="C141" s="4" t="s">
        <v>204</v>
      </c>
      <c r="D141" s="6" t="s">
        <v>20</v>
      </c>
      <c r="E141" s="7">
        <v>1</v>
      </c>
      <c r="F141" s="83">
        <v>116939.05260000001</v>
      </c>
      <c r="G141" s="23">
        <f t="shared" si="2"/>
        <v>116939.05</v>
      </c>
    </row>
    <row r="142" spans="1:8" ht="15.6" x14ac:dyDescent="0.3">
      <c r="A142" s="15">
        <v>138</v>
      </c>
      <c r="B142" s="76"/>
      <c r="C142" s="67" t="s">
        <v>46</v>
      </c>
      <c r="D142" s="62" t="s">
        <v>20</v>
      </c>
      <c r="E142" s="62">
        <v>1</v>
      </c>
      <c r="F142" s="85">
        <v>479942.06</v>
      </c>
      <c r="G142" s="65">
        <f t="shared" si="2"/>
        <v>479942.06</v>
      </c>
    </row>
    <row r="143" spans="1:8" ht="15.6" x14ac:dyDescent="0.3">
      <c r="A143" s="15">
        <v>139</v>
      </c>
      <c r="B143" s="76"/>
      <c r="C143" s="4" t="s">
        <v>92</v>
      </c>
      <c r="D143" s="6" t="s">
        <v>20</v>
      </c>
      <c r="E143" s="7">
        <v>1</v>
      </c>
      <c r="F143" s="83">
        <v>103151.55959999999</v>
      </c>
      <c r="G143" s="23">
        <f t="shared" si="2"/>
        <v>103151.56</v>
      </c>
    </row>
    <row r="144" spans="1:8" s="2" customFormat="1" ht="15.6" x14ac:dyDescent="0.3">
      <c r="A144" s="15">
        <v>140</v>
      </c>
      <c r="B144" s="76"/>
      <c r="C144" s="66" t="s">
        <v>167</v>
      </c>
      <c r="D144" s="62" t="s">
        <v>20</v>
      </c>
      <c r="E144" s="62">
        <v>1</v>
      </c>
      <c r="F144" s="85">
        <v>159980.69</v>
      </c>
      <c r="G144" s="63">
        <f t="shared" si="2"/>
        <v>159980.69</v>
      </c>
      <c r="H144" s="82"/>
    </row>
    <row r="145" spans="1:8" ht="46.8" x14ac:dyDescent="0.3">
      <c r="A145" s="15">
        <v>141</v>
      </c>
      <c r="B145" s="76" t="s">
        <v>25</v>
      </c>
      <c r="C145" s="4" t="s">
        <v>205</v>
      </c>
      <c r="D145" s="6" t="s">
        <v>20</v>
      </c>
      <c r="E145" s="7">
        <v>1</v>
      </c>
      <c r="F145" s="83">
        <v>12669.940200000001</v>
      </c>
      <c r="G145" s="23">
        <f t="shared" si="2"/>
        <v>12669.94</v>
      </c>
    </row>
    <row r="146" spans="1:8" ht="15.6" x14ac:dyDescent="0.3">
      <c r="A146" s="15">
        <v>142</v>
      </c>
      <c r="B146" s="76"/>
      <c r="C146" s="67" t="s">
        <v>46</v>
      </c>
      <c r="D146" s="62" t="s">
        <v>20</v>
      </c>
      <c r="E146" s="62">
        <v>1</v>
      </c>
      <c r="F146" s="85">
        <v>359956.55</v>
      </c>
      <c r="G146" s="65">
        <f t="shared" si="2"/>
        <v>359956.55</v>
      </c>
    </row>
    <row r="147" spans="1:8" ht="15.6" x14ac:dyDescent="0.3">
      <c r="A147" s="15">
        <v>143</v>
      </c>
      <c r="B147" s="76"/>
      <c r="C147" s="11" t="s">
        <v>13</v>
      </c>
      <c r="D147" s="6" t="s">
        <v>20</v>
      </c>
      <c r="E147" s="7">
        <v>1</v>
      </c>
      <c r="F147" s="83">
        <v>59153.114999999998</v>
      </c>
      <c r="G147" s="23">
        <f t="shared" si="2"/>
        <v>59153.120000000003</v>
      </c>
    </row>
    <row r="148" spans="1:8" s="2" customFormat="1" ht="15.6" x14ac:dyDescent="0.3">
      <c r="A148" s="15">
        <v>144</v>
      </c>
      <c r="B148" s="78"/>
      <c r="C148" s="66" t="s">
        <v>167</v>
      </c>
      <c r="D148" s="62" t="s">
        <v>20</v>
      </c>
      <c r="E148" s="62">
        <v>1</v>
      </c>
      <c r="F148" s="85">
        <v>159980.69</v>
      </c>
      <c r="G148" s="63">
        <f t="shared" si="2"/>
        <v>159980.69</v>
      </c>
      <c r="H148" s="82"/>
    </row>
    <row r="149" spans="1:8" ht="78" x14ac:dyDescent="0.3">
      <c r="A149" s="15">
        <v>145</v>
      </c>
      <c r="B149" s="76" t="s">
        <v>94</v>
      </c>
      <c r="C149" s="10" t="s">
        <v>206</v>
      </c>
      <c r="D149" s="6" t="s">
        <v>20</v>
      </c>
      <c r="E149" s="7">
        <v>1</v>
      </c>
      <c r="F149" s="83">
        <v>118477.88579999999</v>
      </c>
      <c r="G149" s="23">
        <f t="shared" si="2"/>
        <v>118477.89</v>
      </c>
    </row>
    <row r="150" spans="1:8" ht="15.6" x14ac:dyDescent="0.3">
      <c r="A150" s="15">
        <v>146</v>
      </c>
      <c r="B150" s="76"/>
      <c r="C150" s="67" t="s">
        <v>46</v>
      </c>
      <c r="D150" s="62" t="s">
        <v>20</v>
      </c>
      <c r="E150" s="62">
        <v>1</v>
      </c>
      <c r="F150" s="85">
        <v>479942.06</v>
      </c>
      <c r="G150" s="65">
        <f t="shared" si="2"/>
        <v>479942.06</v>
      </c>
    </row>
    <row r="151" spans="1:8" ht="15.6" x14ac:dyDescent="0.3">
      <c r="A151" s="15">
        <v>147</v>
      </c>
      <c r="B151" s="76"/>
      <c r="C151" s="4" t="s">
        <v>95</v>
      </c>
      <c r="D151" s="6" t="s">
        <v>20</v>
      </c>
      <c r="E151" s="7">
        <v>1</v>
      </c>
      <c r="F151" s="83">
        <v>101097.13679999999</v>
      </c>
      <c r="G151" s="23">
        <f t="shared" si="2"/>
        <v>101097.14</v>
      </c>
    </row>
    <row r="152" spans="1:8" s="2" customFormat="1" ht="15.6" x14ac:dyDescent="0.3">
      <c r="A152" s="15">
        <v>148</v>
      </c>
      <c r="B152" s="78"/>
      <c r="C152" s="66" t="s">
        <v>167</v>
      </c>
      <c r="D152" s="62" t="s">
        <v>20</v>
      </c>
      <c r="E152" s="62">
        <v>1</v>
      </c>
      <c r="F152" s="85">
        <v>159980.69</v>
      </c>
      <c r="G152" s="63">
        <f t="shared" si="2"/>
        <v>159980.69</v>
      </c>
      <c r="H152" s="82"/>
    </row>
    <row r="153" spans="1:8" ht="46.8" x14ac:dyDescent="0.3">
      <c r="A153" s="15">
        <v>149</v>
      </c>
      <c r="B153" s="76" t="s">
        <v>26</v>
      </c>
      <c r="C153" s="4" t="s">
        <v>207</v>
      </c>
      <c r="D153" s="6" t="s">
        <v>20</v>
      </c>
      <c r="E153" s="7">
        <v>1</v>
      </c>
      <c r="F153" s="83">
        <v>11555.1618</v>
      </c>
      <c r="G153" s="23">
        <f t="shared" si="2"/>
        <v>11555.16</v>
      </c>
    </row>
    <row r="154" spans="1:8" ht="15.6" x14ac:dyDescent="0.3">
      <c r="A154" s="15">
        <v>150</v>
      </c>
      <c r="B154" s="76"/>
      <c r="C154" s="67" t="s">
        <v>46</v>
      </c>
      <c r="D154" s="62" t="s">
        <v>20</v>
      </c>
      <c r="E154" s="62">
        <v>1</v>
      </c>
      <c r="F154" s="85">
        <v>359956.55</v>
      </c>
      <c r="G154" s="65">
        <f t="shared" si="2"/>
        <v>359956.55</v>
      </c>
    </row>
    <row r="155" spans="1:8" ht="15.6" x14ac:dyDescent="0.3">
      <c r="A155" s="15">
        <v>151</v>
      </c>
      <c r="B155" s="76"/>
      <c r="C155" s="4" t="s">
        <v>14</v>
      </c>
      <c r="D155" s="6" t="s">
        <v>20</v>
      </c>
      <c r="E155" s="7">
        <v>1</v>
      </c>
      <c r="F155" s="83">
        <v>59153.114999999998</v>
      </c>
      <c r="G155" s="23">
        <f t="shared" si="2"/>
        <v>59153.120000000003</v>
      </c>
    </row>
    <row r="156" spans="1:8" s="2" customFormat="1" ht="15.6" x14ac:dyDescent="0.3">
      <c r="A156" s="15">
        <v>152</v>
      </c>
      <c r="B156" s="78"/>
      <c r="C156" s="66" t="s">
        <v>167</v>
      </c>
      <c r="D156" s="62" t="s">
        <v>20</v>
      </c>
      <c r="E156" s="62">
        <v>1</v>
      </c>
      <c r="F156" s="85">
        <v>159980.69</v>
      </c>
      <c r="G156" s="63">
        <f t="shared" si="2"/>
        <v>159980.69</v>
      </c>
      <c r="H156" s="82"/>
    </row>
    <row r="157" spans="1:8" ht="31.2" x14ac:dyDescent="0.3">
      <c r="A157" s="15">
        <v>153</v>
      </c>
      <c r="B157" s="76" t="s">
        <v>97</v>
      </c>
      <c r="C157" s="4" t="s">
        <v>208</v>
      </c>
      <c r="D157" s="6" t="s">
        <v>20</v>
      </c>
      <c r="E157" s="7">
        <v>1</v>
      </c>
      <c r="F157" s="83">
        <v>39794.4738</v>
      </c>
      <c r="G157" s="23">
        <f t="shared" si="2"/>
        <v>39794.47</v>
      </c>
    </row>
    <row r="158" spans="1:8" ht="15.6" x14ac:dyDescent="0.3">
      <c r="A158" s="15">
        <v>154</v>
      </c>
      <c r="B158" s="76"/>
      <c r="C158" s="67" t="s">
        <v>66</v>
      </c>
      <c r="D158" s="62" t="s">
        <v>20</v>
      </c>
      <c r="E158" s="62">
        <v>1</v>
      </c>
      <c r="F158" s="85">
        <v>359956.55</v>
      </c>
      <c r="G158" s="65">
        <f t="shared" si="2"/>
        <v>359956.55</v>
      </c>
    </row>
    <row r="159" spans="1:8" ht="15.6" x14ac:dyDescent="0.3">
      <c r="A159" s="15">
        <v>155</v>
      </c>
      <c r="B159" s="76"/>
      <c r="C159" s="67" t="s">
        <v>35</v>
      </c>
      <c r="D159" s="62" t="s">
        <v>20</v>
      </c>
      <c r="E159" s="62">
        <v>1</v>
      </c>
      <c r="F159" s="85">
        <v>63992.28</v>
      </c>
      <c r="G159" s="65">
        <f t="shared" si="2"/>
        <v>63992.28</v>
      </c>
    </row>
    <row r="160" spans="1:8" ht="15.6" x14ac:dyDescent="0.3">
      <c r="A160" s="15">
        <v>156</v>
      </c>
      <c r="B160" s="76"/>
      <c r="C160" s="11" t="s">
        <v>96</v>
      </c>
      <c r="D160" s="6" t="s">
        <v>20</v>
      </c>
      <c r="E160" s="7">
        <v>1</v>
      </c>
      <c r="F160" s="83">
        <v>54968.4018</v>
      </c>
      <c r="G160" s="23">
        <f t="shared" si="2"/>
        <v>54968.4</v>
      </c>
    </row>
    <row r="161" spans="1:8" s="2" customFormat="1" ht="15.6" x14ac:dyDescent="0.3">
      <c r="A161" s="15">
        <v>157</v>
      </c>
      <c r="B161" s="78"/>
      <c r="C161" s="66" t="s">
        <v>167</v>
      </c>
      <c r="D161" s="62" t="s">
        <v>20</v>
      </c>
      <c r="E161" s="62">
        <v>1</v>
      </c>
      <c r="F161" s="85">
        <v>159980.69</v>
      </c>
      <c r="G161" s="63">
        <f t="shared" si="2"/>
        <v>159980.69</v>
      </c>
      <c r="H161" s="82"/>
    </row>
    <row r="162" spans="1:8" ht="46.8" x14ac:dyDescent="0.3">
      <c r="A162" s="15">
        <v>158</v>
      </c>
      <c r="B162" s="76" t="s">
        <v>99</v>
      </c>
      <c r="C162" s="10" t="s">
        <v>209</v>
      </c>
      <c r="D162" s="6" t="s">
        <v>20</v>
      </c>
      <c r="E162" s="7">
        <v>1</v>
      </c>
      <c r="F162" s="83">
        <v>8757.0059999999994</v>
      </c>
      <c r="G162" s="23">
        <f t="shared" si="2"/>
        <v>8757.01</v>
      </c>
    </row>
    <row r="163" spans="1:8" ht="15.6" x14ac:dyDescent="0.3">
      <c r="A163" s="15">
        <v>159</v>
      </c>
      <c r="B163" s="76"/>
      <c r="C163" s="67" t="s">
        <v>46</v>
      </c>
      <c r="D163" s="62" t="s">
        <v>20</v>
      </c>
      <c r="E163" s="62">
        <v>1</v>
      </c>
      <c r="F163" s="85">
        <v>359956.55</v>
      </c>
      <c r="G163" s="65">
        <f t="shared" si="2"/>
        <v>359956.55</v>
      </c>
    </row>
    <row r="164" spans="1:8" ht="15.6" x14ac:dyDescent="0.3">
      <c r="A164" s="15">
        <v>160</v>
      </c>
      <c r="B164" s="76"/>
      <c r="C164" s="10" t="s">
        <v>98</v>
      </c>
      <c r="D164" s="6" t="s">
        <v>20</v>
      </c>
      <c r="E164" s="7">
        <v>1</v>
      </c>
      <c r="F164" s="83">
        <v>59153.114999999998</v>
      </c>
      <c r="G164" s="23">
        <f t="shared" si="2"/>
        <v>59153.120000000003</v>
      </c>
    </row>
    <row r="165" spans="1:8" s="2" customFormat="1" ht="15.6" x14ac:dyDescent="0.3">
      <c r="A165" s="15">
        <v>161</v>
      </c>
      <c r="B165" s="78"/>
      <c r="C165" s="66" t="s">
        <v>167</v>
      </c>
      <c r="D165" s="62" t="s">
        <v>20</v>
      </c>
      <c r="E165" s="62">
        <v>1</v>
      </c>
      <c r="F165" s="85">
        <v>159980.69</v>
      </c>
      <c r="G165" s="63">
        <f t="shared" si="2"/>
        <v>159980.69</v>
      </c>
      <c r="H165" s="82"/>
    </row>
    <row r="166" spans="1:8" ht="31.2" x14ac:dyDescent="0.3">
      <c r="A166" s="15">
        <v>162</v>
      </c>
      <c r="B166" s="76" t="s">
        <v>23</v>
      </c>
      <c r="C166" s="4" t="s">
        <v>210</v>
      </c>
      <c r="D166" s="6" t="s">
        <v>20</v>
      </c>
      <c r="E166" s="7">
        <v>1</v>
      </c>
      <c r="F166" s="83">
        <v>39794.4738</v>
      </c>
      <c r="G166" s="23">
        <f t="shared" si="2"/>
        <v>39794.47</v>
      </c>
    </row>
    <row r="167" spans="1:8" ht="15.6" x14ac:dyDescent="0.3">
      <c r="A167" s="15">
        <v>163</v>
      </c>
      <c r="B167" s="76"/>
      <c r="C167" s="67" t="s">
        <v>66</v>
      </c>
      <c r="D167" s="62" t="s">
        <v>20</v>
      </c>
      <c r="E167" s="62">
        <v>1</v>
      </c>
      <c r="F167" s="85">
        <v>359956.55</v>
      </c>
      <c r="G167" s="65">
        <f t="shared" si="2"/>
        <v>359956.55</v>
      </c>
    </row>
    <row r="168" spans="1:8" ht="15.6" x14ac:dyDescent="0.3">
      <c r="A168" s="15">
        <v>164</v>
      </c>
      <c r="B168" s="76"/>
      <c r="C168" s="67" t="s">
        <v>35</v>
      </c>
      <c r="D168" s="62" t="s">
        <v>20</v>
      </c>
      <c r="E168" s="62">
        <v>1</v>
      </c>
      <c r="F168" s="85">
        <v>63992.28</v>
      </c>
      <c r="G168" s="65">
        <f t="shared" si="2"/>
        <v>63992.28</v>
      </c>
    </row>
    <row r="169" spans="1:8" ht="15.6" x14ac:dyDescent="0.3">
      <c r="A169" s="15">
        <v>165</v>
      </c>
      <c r="B169" s="76"/>
      <c r="C169" s="4" t="s">
        <v>11</v>
      </c>
      <c r="D169" s="6" t="s">
        <v>20</v>
      </c>
      <c r="E169" s="7">
        <v>1</v>
      </c>
      <c r="F169" s="83">
        <v>54968.4018</v>
      </c>
      <c r="G169" s="23">
        <f t="shared" si="2"/>
        <v>54968.4</v>
      </c>
    </row>
    <row r="170" spans="1:8" s="2" customFormat="1" ht="15.6" x14ac:dyDescent="0.3">
      <c r="A170" s="15">
        <v>166</v>
      </c>
      <c r="B170" s="78"/>
      <c r="C170" s="66" t="s">
        <v>167</v>
      </c>
      <c r="D170" s="62" t="s">
        <v>20</v>
      </c>
      <c r="E170" s="62">
        <v>1</v>
      </c>
      <c r="F170" s="85">
        <v>159980.69</v>
      </c>
      <c r="G170" s="63">
        <f t="shared" si="2"/>
        <v>159980.69</v>
      </c>
      <c r="H170" s="82"/>
    </row>
    <row r="171" spans="1:8" ht="46.8" x14ac:dyDescent="0.3">
      <c r="A171" s="15">
        <v>167</v>
      </c>
      <c r="B171" s="76" t="s">
        <v>101</v>
      </c>
      <c r="C171" s="10" t="s">
        <v>211</v>
      </c>
      <c r="D171" s="6" t="s">
        <v>20</v>
      </c>
      <c r="E171" s="7">
        <v>1</v>
      </c>
      <c r="F171" s="83">
        <v>16157.2896</v>
      </c>
      <c r="G171" s="23">
        <f t="shared" si="2"/>
        <v>16157.29</v>
      </c>
    </row>
    <row r="172" spans="1:8" ht="15.6" x14ac:dyDescent="0.3">
      <c r="A172" s="15">
        <v>168</v>
      </c>
      <c r="B172" s="76"/>
      <c r="C172" s="67" t="s">
        <v>46</v>
      </c>
      <c r="D172" s="62" t="s">
        <v>20</v>
      </c>
      <c r="E172" s="62">
        <v>1</v>
      </c>
      <c r="F172" s="85">
        <v>359956.55</v>
      </c>
      <c r="G172" s="65">
        <f t="shared" si="2"/>
        <v>359956.55</v>
      </c>
    </row>
    <row r="173" spans="1:8" ht="15.6" x14ac:dyDescent="0.3">
      <c r="A173" s="15">
        <v>169</v>
      </c>
      <c r="B173" s="76"/>
      <c r="C173" s="10" t="s">
        <v>100</v>
      </c>
      <c r="D173" s="6" t="s">
        <v>20</v>
      </c>
      <c r="E173" s="7">
        <v>1</v>
      </c>
      <c r="F173" s="83">
        <v>59153.114999999998</v>
      </c>
      <c r="G173" s="23">
        <f t="shared" si="2"/>
        <v>59153.120000000003</v>
      </c>
    </row>
    <row r="174" spans="1:8" ht="15.6" x14ac:dyDescent="0.3">
      <c r="A174" s="15">
        <v>170</v>
      </c>
      <c r="B174" s="76"/>
      <c r="C174" s="66" t="s">
        <v>167</v>
      </c>
      <c r="D174" s="62" t="s">
        <v>20</v>
      </c>
      <c r="E174" s="62">
        <v>1</v>
      </c>
      <c r="F174" s="85">
        <v>159980.69</v>
      </c>
      <c r="G174" s="65">
        <f t="shared" si="2"/>
        <v>159980.69</v>
      </c>
    </row>
    <row r="175" spans="1:8" ht="46.8" x14ac:dyDescent="0.3">
      <c r="A175" s="15">
        <v>171</v>
      </c>
      <c r="B175" s="76" t="s">
        <v>103</v>
      </c>
      <c r="C175" s="10" t="s">
        <v>212</v>
      </c>
      <c r="D175" s="6" t="s">
        <v>20</v>
      </c>
      <c r="E175" s="7">
        <v>1</v>
      </c>
      <c r="F175" s="83">
        <v>8276.2595999999994</v>
      </c>
      <c r="G175" s="23">
        <f t="shared" si="2"/>
        <v>8276.26</v>
      </c>
    </row>
    <row r="176" spans="1:8" ht="15.6" x14ac:dyDescent="0.3">
      <c r="A176" s="15">
        <v>172</v>
      </c>
      <c r="B176" s="76"/>
      <c r="C176" s="67" t="s">
        <v>46</v>
      </c>
      <c r="D176" s="62" t="s">
        <v>20</v>
      </c>
      <c r="E176" s="62">
        <v>1</v>
      </c>
      <c r="F176" s="85">
        <v>359956.55</v>
      </c>
      <c r="G176" s="65">
        <f t="shared" si="2"/>
        <v>359956.55</v>
      </c>
    </row>
    <row r="177" spans="1:7" ht="15.6" x14ac:dyDescent="0.3">
      <c r="A177" s="15">
        <v>173</v>
      </c>
      <c r="B177" s="76"/>
      <c r="C177" s="11" t="s">
        <v>102</v>
      </c>
      <c r="D177" s="6" t="s">
        <v>20</v>
      </c>
      <c r="E177" s="7">
        <v>1</v>
      </c>
      <c r="F177" s="83">
        <v>59153.114999999998</v>
      </c>
      <c r="G177" s="23">
        <f t="shared" si="2"/>
        <v>59153.120000000003</v>
      </c>
    </row>
    <row r="178" spans="1:7" ht="15.6" x14ac:dyDescent="0.3">
      <c r="A178" s="15">
        <v>174</v>
      </c>
      <c r="B178" s="76"/>
      <c r="C178" s="66" t="s">
        <v>167</v>
      </c>
      <c r="D178" s="62" t="s">
        <v>20</v>
      </c>
      <c r="E178" s="62">
        <v>1</v>
      </c>
      <c r="F178" s="85">
        <v>159980.69</v>
      </c>
      <c r="G178" s="65">
        <f t="shared" si="2"/>
        <v>159980.69</v>
      </c>
    </row>
    <row r="179" spans="1:7" ht="46.8" x14ac:dyDescent="0.3">
      <c r="A179" s="15">
        <v>175</v>
      </c>
      <c r="B179" s="76" t="s">
        <v>27</v>
      </c>
      <c r="C179" s="10" t="s">
        <v>213</v>
      </c>
      <c r="D179" s="6" t="s">
        <v>20</v>
      </c>
      <c r="E179" s="7">
        <v>1</v>
      </c>
      <c r="F179" s="83">
        <v>39729.458999999995</v>
      </c>
      <c r="G179" s="23">
        <f t="shared" si="2"/>
        <v>39729.46</v>
      </c>
    </row>
    <row r="180" spans="1:7" ht="15.6" x14ac:dyDescent="0.3">
      <c r="A180" s="15">
        <v>176</v>
      </c>
      <c r="B180" s="76"/>
      <c r="C180" s="67" t="s">
        <v>46</v>
      </c>
      <c r="D180" s="62" t="s">
        <v>20</v>
      </c>
      <c r="E180" s="62">
        <v>1</v>
      </c>
      <c r="F180" s="85">
        <v>359956.55</v>
      </c>
      <c r="G180" s="65">
        <f t="shared" si="2"/>
        <v>359956.55</v>
      </c>
    </row>
    <row r="181" spans="1:7" ht="15.6" x14ac:dyDescent="0.3">
      <c r="A181" s="15">
        <v>177</v>
      </c>
      <c r="B181" s="76"/>
      <c r="C181" s="10" t="s">
        <v>15</v>
      </c>
      <c r="D181" s="6" t="s">
        <v>20</v>
      </c>
      <c r="E181" s="7">
        <v>1</v>
      </c>
      <c r="F181" s="83">
        <v>68408.421600000001</v>
      </c>
      <c r="G181" s="23">
        <f t="shared" si="2"/>
        <v>68408.42</v>
      </c>
    </row>
    <row r="182" spans="1:7" ht="15.6" x14ac:dyDescent="0.3">
      <c r="A182" s="15">
        <v>178</v>
      </c>
      <c r="B182" s="76"/>
      <c r="C182" s="66" t="s">
        <v>167</v>
      </c>
      <c r="D182" s="62" t="s">
        <v>20</v>
      </c>
      <c r="E182" s="62">
        <v>1</v>
      </c>
      <c r="F182" s="85">
        <v>159980.69</v>
      </c>
      <c r="G182" s="65">
        <f t="shared" si="2"/>
        <v>159980.69</v>
      </c>
    </row>
    <row r="183" spans="1:7" ht="46.8" x14ac:dyDescent="0.3">
      <c r="A183" s="15">
        <v>179</v>
      </c>
      <c r="B183" s="76" t="s">
        <v>28</v>
      </c>
      <c r="C183" s="10" t="s">
        <v>214</v>
      </c>
      <c r="D183" s="6" t="s">
        <v>20</v>
      </c>
      <c r="E183" s="7">
        <v>1</v>
      </c>
      <c r="F183" s="83">
        <v>10285.924800000001</v>
      </c>
      <c r="G183" s="23">
        <f t="shared" si="2"/>
        <v>10285.92</v>
      </c>
    </row>
    <row r="184" spans="1:7" ht="15.6" x14ac:dyDescent="0.3">
      <c r="A184" s="15">
        <v>180</v>
      </c>
      <c r="B184" s="76"/>
      <c r="C184" s="67" t="s">
        <v>46</v>
      </c>
      <c r="D184" s="62" t="s">
        <v>20</v>
      </c>
      <c r="E184" s="62">
        <v>1</v>
      </c>
      <c r="F184" s="85">
        <v>359956.55</v>
      </c>
      <c r="G184" s="65">
        <f t="shared" si="2"/>
        <v>359956.55</v>
      </c>
    </row>
    <row r="185" spans="1:7" ht="15.6" x14ac:dyDescent="0.3">
      <c r="A185" s="15">
        <v>181</v>
      </c>
      <c r="B185" s="76"/>
      <c r="C185" s="10" t="s">
        <v>104</v>
      </c>
      <c r="D185" s="6" t="s">
        <v>20</v>
      </c>
      <c r="E185" s="7">
        <v>1</v>
      </c>
      <c r="F185" s="83">
        <v>59153.114999999998</v>
      </c>
      <c r="G185" s="23">
        <f t="shared" si="2"/>
        <v>59153.120000000003</v>
      </c>
    </row>
    <row r="186" spans="1:7" ht="15.6" x14ac:dyDescent="0.3">
      <c r="A186" s="15">
        <v>182</v>
      </c>
      <c r="B186" s="76"/>
      <c r="C186" s="66" t="s">
        <v>167</v>
      </c>
      <c r="D186" s="62" t="s">
        <v>20</v>
      </c>
      <c r="E186" s="62">
        <v>1</v>
      </c>
      <c r="F186" s="85">
        <v>159980.69</v>
      </c>
      <c r="G186" s="65">
        <f t="shared" si="2"/>
        <v>159980.69</v>
      </c>
    </row>
    <row r="187" spans="1:7" ht="46.8" x14ac:dyDescent="0.3">
      <c r="A187" s="15">
        <v>183</v>
      </c>
      <c r="B187" s="76" t="s">
        <v>106</v>
      </c>
      <c r="C187" s="10" t="s">
        <v>215</v>
      </c>
      <c r="D187" s="6" t="s">
        <v>20</v>
      </c>
      <c r="E187" s="7">
        <v>2</v>
      </c>
      <c r="F187" s="83">
        <v>8078.6448</v>
      </c>
      <c r="G187" s="23">
        <f t="shared" si="2"/>
        <v>16157.29</v>
      </c>
    </row>
    <row r="188" spans="1:7" ht="15.6" x14ac:dyDescent="0.3">
      <c r="A188" s="15">
        <v>184</v>
      </c>
      <c r="B188" s="76"/>
      <c r="C188" s="67" t="s">
        <v>216</v>
      </c>
      <c r="D188" s="62" t="s">
        <v>20</v>
      </c>
      <c r="E188" s="62">
        <v>2</v>
      </c>
      <c r="F188" s="85">
        <v>359956.55</v>
      </c>
      <c r="G188" s="65">
        <f t="shared" si="2"/>
        <v>719913.1</v>
      </c>
    </row>
    <row r="189" spans="1:7" ht="15.6" x14ac:dyDescent="0.3">
      <c r="A189" s="15">
        <v>185</v>
      </c>
      <c r="B189" s="76"/>
      <c r="C189" s="10" t="s">
        <v>105</v>
      </c>
      <c r="D189" s="6" t="s">
        <v>20</v>
      </c>
      <c r="E189" s="7">
        <v>2</v>
      </c>
      <c r="F189" s="83">
        <v>34829.531999999999</v>
      </c>
      <c r="G189" s="23">
        <f t="shared" si="2"/>
        <v>69659.06</v>
      </c>
    </row>
    <row r="190" spans="1:7" ht="15.6" x14ac:dyDescent="0.3">
      <c r="A190" s="15">
        <v>186</v>
      </c>
      <c r="B190" s="76"/>
      <c r="C190" s="66" t="s">
        <v>161</v>
      </c>
      <c r="D190" s="62" t="s">
        <v>20</v>
      </c>
      <c r="E190" s="62">
        <v>2</v>
      </c>
      <c r="F190" s="85">
        <v>159980.69</v>
      </c>
      <c r="G190" s="65">
        <f t="shared" si="2"/>
        <v>319961.38</v>
      </c>
    </row>
    <row r="191" spans="1:7" ht="46.8" x14ac:dyDescent="0.3">
      <c r="A191" s="15">
        <v>187</v>
      </c>
      <c r="B191" s="76" t="s">
        <v>29</v>
      </c>
      <c r="C191" s="10" t="s">
        <v>217</v>
      </c>
      <c r="D191" s="6" t="s">
        <v>20</v>
      </c>
      <c r="E191" s="7">
        <v>1</v>
      </c>
      <c r="F191" s="83">
        <v>103375.07220000001</v>
      </c>
      <c r="G191" s="23">
        <f t="shared" si="2"/>
        <v>103375.07</v>
      </c>
    </row>
    <row r="192" spans="1:7" ht="15.6" x14ac:dyDescent="0.3">
      <c r="A192" s="15">
        <v>188</v>
      </c>
      <c r="B192" s="76"/>
      <c r="C192" s="67" t="s">
        <v>46</v>
      </c>
      <c r="D192" s="62" t="s">
        <v>20</v>
      </c>
      <c r="E192" s="62">
        <v>1</v>
      </c>
      <c r="F192" s="85">
        <v>359956.55</v>
      </c>
      <c r="G192" s="65">
        <f t="shared" si="2"/>
        <v>359956.55</v>
      </c>
    </row>
    <row r="193" spans="1:7" ht="15.6" x14ac:dyDescent="0.3">
      <c r="A193" s="15">
        <v>189</v>
      </c>
      <c r="B193" s="76"/>
      <c r="C193" s="10" t="s">
        <v>16</v>
      </c>
      <c r="D193" s="6" t="s">
        <v>20</v>
      </c>
      <c r="E193" s="7">
        <v>1</v>
      </c>
      <c r="F193" s="83">
        <v>74440.732199999999</v>
      </c>
      <c r="G193" s="23">
        <f t="shared" si="2"/>
        <v>74440.73</v>
      </c>
    </row>
    <row r="194" spans="1:7" ht="15.6" x14ac:dyDescent="0.3">
      <c r="A194" s="15">
        <v>190</v>
      </c>
      <c r="B194" s="76"/>
      <c r="C194" s="66" t="s">
        <v>167</v>
      </c>
      <c r="D194" s="62" t="s">
        <v>20</v>
      </c>
      <c r="E194" s="62">
        <v>1</v>
      </c>
      <c r="F194" s="85">
        <v>159980.69</v>
      </c>
      <c r="G194" s="65">
        <f t="shared" si="2"/>
        <v>159980.69</v>
      </c>
    </row>
    <row r="195" spans="1:7" ht="46.8" x14ac:dyDescent="0.3">
      <c r="A195" s="15">
        <v>191</v>
      </c>
      <c r="B195" s="76" t="s">
        <v>108</v>
      </c>
      <c r="C195" s="10" t="s">
        <v>218</v>
      </c>
      <c r="D195" s="6" t="s">
        <v>20</v>
      </c>
      <c r="E195" s="7">
        <v>1</v>
      </c>
      <c r="F195" s="83">
        <v>8757.0059999999994</v>
      </c>
      <c r="G195" s="23">
        <f t="shared" si="2"/>
        <v>8757.01</v>
      </c>
    </row>
    <row r="196" spans="1:7" ht="15.6" x14ac:dyDescent="0.3">
      <c r="A196" s="15">
        <v>192</v>
      </c>
      <c r="B196" s="76"/>
      <c r="C196" s="67" t="s">
        <v>46</v>
      </c>
      <c r="D196" s="62" t="s">
        <v>20</v>
      </c>
      <c r="E196" s="62">
        <v>1</v>
      </c>
      <c r="F196" s="85">
        <v>359956.55</v>
      </c>
      <c r="G196" s="65">
        <f t="shared" si="2"/>
        <v>359956.55</v>
      </c>
    </row>
    <row r="197" spans="1:7" ht="15.6" x14ac:dyDescent="0.3">
      <c r="A197" s="15">
        <v>193</v>
      </c>
      <c r="B197" s="76"/>
      <c r="C197" s="10" t="s">
        <v>107</v>
      </c>
      <c r="D197" s="6" t="s">
        <v>20</v>
      </c>
      <c r="E197" s="7">
        <v>1</v>
      </c>
      <c r="F197" s="83">
        <v>59153.114999999998</v>
      </c>
      <c r="G197" s="23">
        <f t="shared" ref="G197:G245" si="3">ROUND(E197*F197,2)</f>
        <v>59153.120000000003</v>
      </c>
    </row>
    <row r="198" spans="1:7" ht="15.6" x14ac:dyDescent="0.3">
      <c r="A198" s="15">
        <v>194</v>
      </c>
      <c r="B198" s="76"/>
      <c r="C198" s="66" t="s">
        <v>167</v>
      </c>
      <c r="D198" s="62" t="s">
        <v>20</v>
      </c>
      <c r="E198" s="62">
        <v>1</v>
      </c>
      <c r="F198" s="85">
        <v>159980.69</v>
      </c>
      <c r="G198" s="65">
        <f t="shared" si="3"/>
        <v>159980.69</v>
      </c>
    </row>
    <row r="199" spans="1:7" ht="15.6" x14ac:dyDescent="0.3">
      <c r="A199" s="15">
        <v>195</v>
      </c>
      <c r="B199" s="76" t="s">
        <v>115</v>
      </c>
      <c r="C199" s="10" t="s">
        <v>219</v>
      </c>
      <c r="D199" s="6" t="s">
        <v>20</v>
      </c>
      <c r="E199" s="7">
        <v>1</v>
      </c>
      <c r="F199" s="83">
        <v>689107.24679999996</v>
      </c>
      <c r="G199" s="23">
        <f t="shared" si="3"/>
        <v>689107.25</v>
      </c>
    </row>
    <row r="200" spans="1:7" ht="15.6" x14ac:dyDescent="0.3">
      <c r="A200" s="15">
        <v>196</v>
      </c>
      <c r="B200" s="76"/>
      <c r="C200" s="67" t="s">
        <v>116</v>
      </c>
      <c r="D200" s="62" t="s">
        <v>20</v>
      </c>
      <c r="E200" s="62">
        <v>1</v>
      </c>
      <c r="F200" s="85">
        <v>71991.31</v>
      </c>
      <c r="G200" s="65">
        <f t="shared" si="3"/>
        <v>71991.31</v>
      </c>
    </row>
    <row r="201" spans="1:7" ht="31.2" x14ac:dyDescent="0.3">
      <c r="A201" s="15">
        <v>197</v>
      </c>
      <c r="B201" s="76"/>
      <c r="C201" s="10" t="s">
        <v>220</v>
      </c>
      <c r="D201" s="6" t="s">
        <v>20</v>
      </c>
      <c r="E201" s="7">
        <v>1</v>
      </c>
      <c r="F201" s="83">
        <v>50302.513800000001</v>
      </c>
      <c r="G201" s="23">
        <f t="shared" si="3"/>
        <v>50302.51</v>
      </c>
    </row>
    <row r="202" spans="1:7" ht="15.6" x14ac:dyDescent="0.3">
      <c r="A202" s="15">
        <v>198</v>
      </c>
      <c r="B202" s="76"/>
      <c r="C202" s="66" t="s">
        <v>117</v>
      </c>
      <c r="D202" s="62" t="s">
        <v>20</v>
      </c>
      <c r="E202" s="62">
        <v>1</v>
      </c>
      <c r="F202" s="85">
        <v>319961.38</v>
      </c>
      <c r="G202" s="65">
        <f t="shared" si="3"/>
        <v>319961.38</v>
      </c>
    </row>
    <row r="203" spans="1:7" ht="31.2" x14ac:dyDescent="0.3">
      <c r="A203" s="15">
        <v>199</v>
      </c>
      <c r="B203" s="76" t="s">
        <v>118</v>
      </c>
      <c r="C203" s="10" t="s">
        <v>221</v>
      </c>
      <c r="D203" s="6" t="s">
        <v>20</v>
      </c>
      <c r="E203" s="7">
        <v>1</v>
      </c>
      <c r="F203" s="83">
        <v>689107.24679999996</v>
      </c>
      <c r="G203" s="23">
        <f t="shared" si="3"/>
        <v>689107.25</v>
      </c>
    </row>
    <row r="204" spans="1:7" ht="15.6" x14ac:dyDescent="0.3">
      <c r="A204" s="15">
        <v>200</v>
      </c>
      <c r="B204" s="76"/>
      <c r="C204" s="67" t="s">
        <v>222</v>
      </c>
      <c r="D204" s="62" t="s">
        <v>20</v>
      </c>
      <c r="E204" s="62">
        <v>1</v>
      </c>
      <c r="F204" s="85">
        <v>71991.31</v>
      </c>
      <c r="G204" s="65">
        <f t="shared" si="3"/>
        <v>71991.31</v>
      </c>
    </row>
    <row r="205" spans="1:7" ht="31.2" x14ac:dyDescent="0.3">
      <c r="A205" s="15">
        <v>201</v>
      </c>
      <c r="B205" s="76"/>
      <c r="C205" s="10" t="s">
        <v>223</v>
      </c>
      <c r="D205" s="6" t="s">
        <v>20</v>
      </c>
      <c r="E205" s="7">
        <v>1</v>
      </c>
      <c r="F205" s="83">
        <v>145963.50960000002</v>
      </c>
      <c r="G205" s="23">
        <f t="shared" si="3"/>
        <v>145963.51</v>
      </c>
    </row>
    <row r="206" spans="1:7" ht="15.6" x14ac:dyDescent="0.3">
      <c r="A206" s="15">
        <v>202</v>
      </c>
      <c r="B206" s="76"/>
      <c r="C206" s="66" t="s">
        <v>36</v>
      </c>
      <c r="D206" s="62" t="s">
        <v>20</v>
      </c>
      <c r="E206" s="62">
        <v>1</v>
      </c>
      <c r="F206" s="85">
        <v>359956.55</v>
      </c>
      <c r="G206" s="65">
        <f t="shared" si="3"/>
        <v>359956.55</v>
      </c>
    </row>
    <row r="207" spans="1:7" ht="15.6" x14ac:dyDescent="0.3">
      <c r="A207" s="15">
        <v>203</v>
      </c>
      <c r="B207" s="76" t="s">
        <v>224</v>
      </c>
      <c r="C207" s="10" t="s">
        <v>225</v>
      </c>
      <c r="D207" s="6" t="s">
        <v>20</v>
      </c>
      <c r="E207" s="7">
        <v>5</v>
      </c>
      <c r="F207" s="83">
        <v>689107.24679999996</v>
      </c>
      <c r="G207" s="23">
        <f t="shared" si="3"/>
        <v>3445536.23</v>
      </c>
    </row>
    <row r="208" spans="1:7" ht="15.6" x14ac:dyDescent="0.3">
      <c r="A208" s="15">
        <v>204</v>
      </c>
      <c r="B208" s="76"/>
      <c r="C208" s="67" t="s">
        <v>229</v>
      </c>
      <c r="D208" s="62" t="s">
        <v>20</v>
      </c>
      <c r="E208" s="62">
        <v>5</v>
      </c>
      <c r="F208" s="85">
        <v>71991.31</v>
      </c>
      <c r="G208" s="65">
        <f t="shared" si="3"/>
        <v>359956.55</v>
      </c>
    </row>
    <row r="209" spans="1:7" ht="31.2" x14ac:dyDescent="0.3">
      <c r="A209" s="15">
        <v>205</v>
      </c>
      <c r="B209" s="76"/>
      <c r="C209" s="10" t="s">
        <v>220</v>
      </c>
      <c r="D209" s="6" t="s">
        <v>20</v>
      </c>
      <c r="E209" s="7">
        <v>5</v>
      </c>
      <c r="F209" s="83">
        <v>50302.513800000001</v>
      </c>
      <c r="G209" s="23">
        <f t="shared" si="3"/>
        <v>251512.57</v>
      </c>
    </row>
    <row r="210" spans="1:7" ht="15.6" x14ac:dyDescent="0.3">
      <c r="A210" s="15">
        <v>206</v>
      </c>
      <c r="B210" s="76"/>
      <c r="C210" s="66" t="s">
        <v>230</v>
      </c>
      <c r="D210" s="62" t="s">
        <v>20</v>
      </c>
      <c r="E210" s="62">
        <v>5</v>
      </c>
      <c r="F210" s="85">
        <v>319961.38</v>
      </c>
      <c r="G210" s="65">
        <f t="shared" si="3"/>
        <v>1599806.9</v>
      </c>
    </row>
    <row r="211" spans="1:7" ht="15.6" x14ac:dyDescent="0.3">
      <c r="A211" s="15">
        <v>207</v>
      </c>
      <c r="B211" s="76" t="s">
        <v>119</v>
      </c>
      <c r="C211" s="10" t="s">
        <v>226</v>
      </c>
      <c r="D211" s="6" t="s">
        <v>20</v>
      </c>
      <c r="E211" s="7">
        <v>1</v>
      </c>
      <c r="F211" s="83">
        <v>689107.24679999996</v>
      </c>
      <c r="G211" s="23">
        <f t="shared" si="3"/>
        <v>689107.25</v>
      </c>
    </row>
    <row r="212" spans="1:7" ht="15.6" x14ac:dyDescent="0.3">
      <c r="A212" s="15">
        <v>208</v>
      </c>
      <c r="B212" s="76"/>
      <c r="C212" s="67" t="s">
        <v>116</v>
      </c>
      <c r="D212" s="62" t="s">
        <v>20</v>
      </c>
      <c r="E212" s="62">
        <v>1</v>
      </c>
      <c r="F212" s="85">
        <v>71991.31</v>
      </c>
      <c r="G212" s="65">
        <f t="shared" si="3"/>
        <v>71991.31</v>
      </c>
    </row>
    <row r="213" spans="1:7" ht="31.2" x14ac:dyDescent="0.3">
      <c r="A213" s="15">
        <v>209</v>
      </c>
      <c r="B213" s="76"/>
      <c r="C213" s="10" t="s">
        <v>220</v>
      </c>
      <c r="D213" s="6" t="s">
        <v>20</v>
      </c>
      <c r="E213" s="7">
        <v>1</v>
      </c>
      <c r="F213" s="83">
        <v>50302.513800000001</v>
      </c>
      <c r="G213" s="23">
        <f t="shared" si="3"/>
        <v>50302.51</v>
      </c>
    </row>
    <row r="214" spans="1:7" ht="15.6" x14ac:dyDescent="0.3">
      <c r="A214" s="15">
        <v>210</v>
      </c>
      <c r="B214" s="76"/>
      <c r="C214" s="66" t="s">
        <v>117</v>
      </c>
      <c r="D214" s="62" t="s">
        <v>20</v>
      </c>
      <c r="E214" s="62">
        <v>1</v>
      </c>
      <c r="F214" s="85">
        <v>319961.38</v>
      </c>
      <c r="G214" s="65">
        <f t="shared" si="3"/>
        <v>319961.38</v>
      </c>
    </row>
    <row r="215" spans="1:7" ht="15.6" x14ac:dyDescent="0.3">
      <c r="A215" s="15">
        <v>211</v>
      </c>
      <c r="B215" s="76" t="s">
        <v>227</v>
      </c>
      <c r="C215" s="10" t="s">
        <v>226</v>
      </c>
      <c r="D215" s="6" t="s">
        <v>20</v>
      </c>
      <c r="E215" s="7">
        <v>3</v>
      </c>
      <c r="F215" s="83">
        <v>689107.24679999996</v>
      </c>
      <c r="G215" s="23">
        <f t="shared" si="3"/>
        <v>2067321.74</v>
      </c>
    </row>
    <row r="216" spans="1:7" ht="15.6" x14ac:dyDescent="0.3">
      <c r="A216" s="15">
        <v>212</v>
      </c>
      <c r="B216" s="76"/>
      <c r="C216" s="67" t="s">
        <v>229</v>
      </c>
      <c r="D216" s="62" t="s">
        <v>20</v>
      </c>
      <c r="E216" s="62">
        <v>3</v>
      </c>
      <c r="F216" s="85">
        <v>71991.31</v>
      </c>
      <c r="G216" s="65">
        <f t="shared" si="3"/>
        <v>215973.93</v>
      </c>
    </row>
    <row r="217" spans="1:7" ht="31.2" x14ac:dyDescent="0.3">
      <c r="A217" s="15">
        <v>213</v>
      </c>
      <c r="B217" s="76"/>
      <c r="C217" s="11" t="s">
        <v>220</v>
      </c>
      <c r="D217" s="6" t="s">
        <v>20</v>
      </c>
      <c r="E217" s="7">
        <v>3</v>
      </c>
      <c r="F217" s="83">
        <v>50302.513800000001</v>
      </c>
      <c r="G217" s="23">
        <f t="shared" si="3"/>
        <v>150907.54</v>
      </c>
    </row>
    <row r="218" spans="1:7" ht="15.6" x14ac:dyDescent="0.3">
      <c r="A218" s="15">
        <v>214</v>
      </c>
      <c r="B218" s="76"/>
      <c r="C218" s="66" t="s">
        <v>230</v>
      </c>
      <c r="D218" s="62" t="s">
        <v>20</v>
      </c>
      <c r="E218" s="62">
        <v>3</v>
      </c>
      <c r="F218" s="85">
        <v>319961.38</v>
      </c>
      <c r="G218" s="65">
        <f t="shared" si="3"/>
        <v>959884.14</v>
      </c>
    </row>
    <row r="219" spans="1:7" ht="15.6" x14ac:dyDescent="0.3">
      <c r="A219" s="15">
        <v>215</v>
      </c>
      <c r="B219" s="76" t="s">
        <v>228</v>
      </c>
      <c r="C219" s="10" t="s">
        <v>226</v>
      </c>
      <c r="D219" s="6" t="s">
        <v>20</v>
      </c>
      <c r="E219" s="7">
        <v>2</v>
      </c>
      <c r="F219" s="83">
        <v>689107.24679999996</v>
      </c>
      <c r="G219" s="23">
        <f t="shared" si="3"/>
        <v>1378214.49</v>
      </c>
    </row>
    <row r="220" spans="1:7" ht="15.6" x14ac:dyDescent="0.3">
      <c r="A220" s="15">
        <v>216</v>
      </c>
      <c r="B220" s="76"/>
      <c r="C220" s="67" t="s">
        <v>229</v>
      </c>
      <c r="D220" s="62" t="s">
        <v>20</v>
      </c>
      <c r="E220" s="62">
        <v>2</v>
      </c>
      <c r="F220" s="85">
        <v>71991.31</v>
      </c>
      <c r="G220" s="65">
        <f t="shared" si="3"/>
        <v>143982.62</v>
      </c>
    </row>
    <row r="221" spans="1:7" ht="31.2" x14ac:dyDescent="0.3">
      <c r="A221" s="15">
        <v>217</v>
      </c>
      <c r="B221" s="76"/>
      <c r="C221" s="10" t="s">
        <v>220</v>
      </c>
      <c r="D221" s="6" t="s">
        <v>20</v>
      </c>
      <c r="E221" s="7">
        <v>2</v>
      </c>
      <c r="F221" s="83">
        <v>50302.513800000001</v>
      </c>
      <c r="G221" s="23">
        <f t="shared" si="3"/>
        <v>100605.03</v>
      </c>
    </row>
    <row r="222" spans="1:7" ht="15.6" x14ac:dyDescent="0.3">
      <c r="A222" s="15">
        <v>218</v>
      </c>
      <c r="B222" s="76"/>
      <c r="C222" s="66" t="s">
        <v>230</v>
      </c>
      <c r="D222" s="62" t="s">
        <v>20</v>
      </c>
      <c r="E222" s="62">
        <v>2</v>
      </c>
      <c r="F222" s="85">
        <v>319961.38</v>
      </c>
      <c r="G222" s="65">
        <f t="shared" si="3"/>
        <v>639922.76</v>
      </c>
    </row>
    <row r="223" spans="1:7" ht="15.6" x14ac:dyDescent="0.3">
      <c r="A223" s="15">
        <v>219</v>
      </c>
      <c r="B223" s="76" t="s">
        <v>120</v>
      </c>
      <c r="C223" s="10" t="s">
        <v>226</v>
      </c>
      <c r="D223" s="6" t="s">
        <v>20</v>
      </c>
      <c r="E223" s="7">
        <v>1</v>
      </c>
      <c r="F223" s="83">
        <v>689107.24679999996</v>
      </c>
      <c r="G223" s="23">
        <f t="shared" si="3"/>
        <v>689107.25</v>
      </c>
    </row>
    <row r="224" spans="1:7" ht="15.6" x14ac:dyDescent="0.3">
      <c r="A224" s="15">
        <v>220</v>
      </c>
      <c r="B224" s="76"/>
      <c r="C224" s="67" t="s">
        <v>116</v>
      </c>
      <c r="D224" s="62" t="s">
        <v>20</v>
      </c>
      <c r="E224" s="62">
        <v>1</v>
      </c>
      <c r="F224" s="85">
        <v>71991.31</v>
      </c>
      <c r="G224" s="65">
        <f t="shared" si="3"/>
        <v>71991.31</v>
      </c>
    </row>
    <row r="225" spans="1:7" ht="31.2" x14ac:dyDescent="0.3">
      <c r="A225" s="15">
        <v>221</v>
      </c>
      <c r="B225" s="76"/>
      <c r="C225" s="10" t="s">
        <v>220</v>
      </c>
      <c r="D225" s="6" t="s">
        <v>20</v>
      </c>
      <c r="E225" s="7">
        <v>1</v>
      </c>
      <c r="F225" s="83">
        <v>50302.513800000001</v>
      </c>
      <c r="G225" s="23">
        <f t="shared" si="3"/>
        <v>50302.51</v>
      </c>
    </row>
    <row r="226" spans="1:7" ht="15.6" x14ac:dyDescent="0.3">
      <c r="A226" s="15">
        <v>222</v>
      </c>
      <c r="B226" s="76"/>
      <c r="C226" s="66" t="s">
        <v>117</v>
      </c>
      <c r="D226" s="62" t="s">
        <v>20</v>
      </c>
      <c r="E226" s="62">
        <v>1</v>
      </c>
      <c r="F226" s="85">
        <v>319961.38</v>
      </c>
      <c r="G226" s="65">
        <f t="shared" si="3"/>
        <v>319961.38</v>
      </c>
    </row>
    <row r="227" spans="1:7" ht="78" x14ac:dyDescent="0.3">
      <c r="A227" s="15">
        <v>223</v>
      </c>
      <c r="B227" s="76" t="s">
        <v>231</v>
      </c>
      <c r="C227" s="10" t="s">
        <v>232</v>
      </c>
      <c r="D227" s="6" t="s">
        <v>20</v>
      </c>
      <c r="E227" s="7">
        <v>3</v>
      </c>
      <c r="F227" s="83">
        <v>689107.24679999996</v>
      </c>
      <c r="G227" s="23">
        <f t="shared" si="3"/>
        <v>2067321.74</v>
      </c>
    </row>
    <row r="228" spans="1:7" ht="15.6" x14ac:dyDescent="0.3">
      <c r="A228" s="15">
        <v>224</v>
      </c>
      <c r="B228" s="76"/>
      <c r="C228" s="67" t="s">
        <v>123</v>
      </c>
      <c r="D228" s="62" t="s">
        <v>20</v>
      </c>
      <c r="E228" s="62">
        <v>3</v>
      </c>
      <c r="F228" s="85">
        <v>71991.31</v>
      </c>
      <c r="G228" s="65">
        <f t="shared" si="3"/>
        <v>215973.93</v>
      </c>
    </row>
    <row r="229" spans="1:7" ht="15.6" x14ac:dyDescent="0.3">
      <c r="A229" s="15">
        <v>225</v>
      </c>
      <c r="B229" s="76"/>
      <c r="C229" s="10" t="s">
        <v>121</v>
      </c>
      <c r="D229" s="6" t="s">
        <v>20</v>
      </c>
      <c r="E229" s="7">
        <v>3</v>
      </c>
      <c r="F229" s="83">
        <v>18120.983399999997</v>
      </c>
      <c r="G229" s="23">
        <f t="shared" si="3"/>
        <v>54362.95</v>
      </c>
    </row>
    <row r="230" spans="1:7" ht="15.6" x14ac:dyDescent="0.3">
      <c r="A230" s="15">
        <v>226</v>
      </c>
      <c r="B230" s="76"/>
      <c r="C230" s="66" t="s">
        <v>122</v>
      </c>
      <c r="D230" s="62" t="s">
        <v>20</v>
      </c>
      <c r="E230" s="62">
        <v>3</v>
      </c>
      <c r="F230" s="85">
        <v>71991.31</v>
      </c>
      <c r="G230" s="65">
        <f t="shared" si="3"/>
        <v>215973.93</v>
      </c>
    </row>
    <row r="231" spans="1:7" ht="46.8" x14ac:dyDescent="0.3">
      <c r="A231" s="15">
        <v>227</v>
      </c>
      <c r="B231" s="76" t="s">
        <v>109</v>
      </c>
      <c r="C231" s="10" t="s">
        <v>233</v>
      </c>
      <c r="D231" s="6" t="s">
        <v>20</v>
      </c>
      <c r="E231" s="7">
        <v>2</v>
      </c>
      <c r="F231" s="83">
        <v>447048.79259999999</v>
      </c>
      <c r="G231" s="23">
        <f t="shared" si="3"/>
        <v>894097.59</v>
      </c>
    </row>
    <row r="232" spans="1:7" ht="15.6" x14ac:dyDescent="0.3">
      <c r="A232" s="15">
        <v>228</v>
      </c>
      <c r="B232" s="76"/>
      <c r="C232" s="67" t="s">
        <v>36</v>
      </c>
      <c r="D232" s="62" t="s">
        <v>20</v>
      </c>
      <c r="E232" s="62">
        <v>2</v>
      </c>
      <c r="F232" s="85">
        <v>359956.55</v>
      </c>
      <c r="G232" s="65">
        <f t="shared" si="3"/>
        <v>719913.1</v>
      </c>
    </row>
    <row r="233" spans="1:7" ht="15.6" x14ac:dyDescent="0.3">
      <c r="A233" s="15">
        <v>229</v>
      </c>
      <c r="B233" s="76"/>
      <c r="C233" s="10" t="s">
        <v>37</v>
      </c>
      <c r="D233" s="6" t="s">
        <v>20</v>
      </c>
      <c r="E233" s="7">
        <v>2</v>
      </c>
      <c r="F233" s="83">
        <v>56451.818399999996</v>
      </c>
      <c r="G233" s="23">
        <f t="shared" si="3"/>
        <v>112903.64</v>
      </c>
    </row>
    <row r="234" spans="1:7" ht="15.6" x14ac:dyDescent="0.3">
      <c r="A234" s="15">
        <v>230</v>
      </c>
      <c r="B234" s="76"/>
      <c r="C234" s="66" t="s">
        <v>167</v>
      </c>
      <c r="D234" s="62" t="s">
        <v>20</v>
      </c>
      <c r="E234" s="62">
        <v>2</v>
      </c>
      <c r="F234" s="85">
        <v>159980.69</v>
      </c>
      <c r="G234" s="65">
        <f t="shared" si="3"/>
        <v>319961.38</v>
      </c>
    </row>
    <row r="235" spans="1:7" ht="31.2" x14ac:dyDescent="0.3">
      <c r="A235" s="15">
        <v>231</v>
      </c>
      <c r="B235" s="76" t="s">
        <v>112</v>
      </c>
      <c r="C235" s="10" t="s">
        <v>234</v>
      </c>
      <c r="D235" s="6" t="s">
        <v>20</v>
      </c>
      <c r="E235" s="7">
        <v>1</v>
      </c>
      <c r="F235" s="83">
        <v>129052.542</v>
      </c>
      <c r="G235" s="23">
        <f t="shared" si="3"/>
        <v>129052.54</v>
      </c>
    </row>
    <row r="236" spans="1:7" ht="15.6" x14ac:dyDescent="0.3">
      <c r="A236" s="15">
        <v>232</v>
      </c>
      <c r="B236" s="76"/>
      <c r="C236" s="67" t="s">
        <v>110</v>
      </c>
      <c r="D236" s="62" t="s">
        <v>20</v>
      </c>
      <c r="E236" s="62">
        <v>1</v>
      </c>
      <c r="F236" s="85">
        <v>319961.38</v>
      </c>
      <c r="G236" s="65">
        <f t="shared" si="3"/>
        <v>319961.38</v>
      </c>
    </row>
    <row r="237" spans="1:7" ht="15.6" x14ac:dyDescent="0.3">
      <c r="A237" s="15">
        <v>233</v>
      </c>
      <c r="B237" s="76"/>
      <c r="C237" s="10" t="s">
        <v>111</v>
      </c>
      <c r="D237" s="6" t="s">
        <v>20</v>
      </c>
      <c r="E237" s="7">
        <v>1</v>
      </c>
      <c r="F237" s="83">
        <v>225407.96400000001</v>
      </c>
      <c r="G237" s="23">
        <f t="shared" si="3"/>
        <v>225407.96</v>
      </c>
    </row>
    <row r="238" spans="1:7" ht="15.6" x14ac:dyDescent="0.3">
      <c r="A238" s="15">
        <v>234</v>
      </c>
      <c r="B238" s="76"/>
      <c r="C238" s="66" t="s">
        <v>167</v>
      </c>
      <c r="D238" s="62" t="s">
        <v>20</v>
      </c>
      <c r="E238" s="62">
        <v>1</v>
      </c>
      <c r="F238" s="85">
        <v>159980.69</v>
      </c>
      <c r="G238" s="65">
        <f t="shared" si="3"/>
        <v>159980.69</v>
      </c>
    </row>
    <row r="239" spans="1:7" ht="31.2" x14ac:dyDescent="0.3">
      <c r="A239" s="15">
        <v>235</v>
      </c>
      <c r="B239" s="76" t="s">
        <v>114</v>
      </c>
      <c r="C239" s="10" t="s">
        <v>235</v>
      </c>
      <c r="D239" s="6" t="s">
        <v>20</v>
      </c>
      <c r="E239" s="7">
        <v>1</v>
      </c>
      <c r="F239" s="83">
        <v>125873.71200000001</v>
      </c>
      <c r="G239" s="23">
        <f t="shared" si="3"/>
        <v>125873.71</v>
      </c>
    </row>
    <row r="240" spans="1:7" ht="15.6" x14ac:dyDescent="0.3">
      <c r="A240" s="15">
        <v>236</v>
      </c>
      <c r="B240" s="76"/>
      <c r="C240" s="67" t="s">
        <v>36</v>
      </c>
      <c r="D240" s="62" t="s">
        <v>20</v>
      </c>
      <c r="E240" s="62">
        <v>1</v>
      </c>
      <c r="F240" s="85">
        <v>359956.55</v>
      </c>
      <c r="G240" s="65">
        <f t="shared" si="3"/>
        <v>359956.55</v>
      </c>
    </row>
    <row r="241" spans="1:7" ht="15.6" x14ac:dyDescent="0.3">
      <c r="A241" s="15">
        <v>237</v>
      </c>
      <c r="B241" s="76"/>
      <c r="C241" s="10" t="s">
        <v>113</v>
      </c>
      <c r="D241" s="6" t="s">
        <v>20</v>
      </c>
      <c r="E241" s="7">
        <v>1</v>
      </c>
      <c r="F241" s="83">
        <v>225407.96400000001</v>
      </c>
      <c r="G241" s="23">
        <f t="shared" si="3"/>
        <v>225407.96</v>
      </c>
    </row>
    <row r="242" spans="1:7" ht="15.6" x14ac:dyDescent="0.3">
      <c r="A242" s="15">
        <v>238</v>
      </c>
      <c r="B242" s="76"/>
      <c r="C242" s="66" t="s">
        <v>167</v>
      </c>
      <c r="D242" s="62" t="s">
        <v>20</v>
      </c>
      <c r="E242" s="62">
        <v>1</v>
      </c>
      <c r="F242" s="85">
        <v>159980.69</v>
      </c>
      <c r="G242" s="65">
        <f t="shared" si="3"/>
        <v>159980.69</v>
      </c>
    </row>
    <row r="243" spans="1:7" ht="46.8" x14ac:dyDescent="0.3">
      <c r="A243" s="15">
        <v>239</v>
      </c>
      <c r="B243" s="76" t="s">
        <v>245</v>
      </c>
      <c r="C243" s="10" t="s">
        <v>236</v>
      </c>
      <c r="D243" s="6" t="s">
        <v>20</v>
      </c>
      <c r="E243" s="7">
        <v>4</v>
      </c>
      <c r="F243" s="83">
        <v>1284892.8677999999</v>
      </c>
      <c r="G243" s="23">
        <f t="shared" si="3"/>
        <v>5139571.47</v>
      </c>
    </row>
    <row r="244" spans="1:7" ht="15.6" x14ac:dyDescent="0.3">
      <c r="A244" s="15">
        <v>240</v>
      </c>
      <c r="B244" s="76"/>
      <c r="C244" s="67" t="s">
        <v>36</v>
      </c>
      <c r="D244" s="62" t="s">
        <v>20</v>
      </c>
      <c r="E244" s="62">
        <v>4</v>
      </c>
      <c r="F244" s="85">
        <v>359956.55</v>
      </c>
      <c r="G244" s="65">
        <f t="shared" si="3"/>
        <v>1439826.2</v>
      </c>
    </row>
    <row r="245" spans="1:7" ht="15.6" x14ac:dyDescent="0.3">
      <c r="A245" s="15">
        <v>241</v>
      </c>
      <c r="B245" s="76"/>
      <c r="C245" s="10" t="s">
        <v>237</v>
      </c>
      <c r="D245" s="6" t="s">
        <v>20</v>
      </c>
      <c r="E245" s="7">
        <v>4</v>
      </c>
      <c r="F245" s="83">
        <v>56351.991000000002</v>
      </c>
      <c r="G245" s="23">
        <f t="shared" si="3"/>
        <v>225407.96</v>
      </c>
    </row>
    <row r="246" spans="1:7" ht="15.6" x14ac:dyDescent="0.3">
      <c r="A246" s="15">
        <v>242</v>
      </c>
      <c r="B246" s="76"/>
      <c r="C246" s="66" t="s">
        <v>167</v>
      </c>
      <c r="D246" s="62" t="s">
        <v>20</v>
      </c>
      <c r="E246" s="62">
        <v>4</v>
      </c>
      <c r="F246" s="85">
        <v>159980.69</v>
      </c>
      <c r="G246" s="65">
        <f>ROUND(E246*F246,2)</f>
        <v>639922.76</v>
      </c>
    </row>
    <row r="247" spans="1:7" ht="15.6" x14ac:dyDescent="0.3">
      <c r="A247" s="15">
        <v>243</v>
      </c>
      <c r="B247" s="19"/>
      <c r="C247" s="32" t="s">
        <v>349</v>
      </c>
      <c r="D247" s="33"/>
      <c r="E247" s="33"/>
      <c r="F247" s="34">
        <v>0</v>
      </c>
      <c r="G247" s="35">
        <f>G245+G243+G241+G239+G237+G235+G233+G231+G229+G227+G225+G223+G221+G219+G217+G215+G213+G211+G209+G207+G205+G203+G201+G199+G197+G195+G193+G191+G189+G187+G185+G183+G181+G179+G177+G175+G173+G171+G169+G166+G164+G162+G160+G157+G155+G153+G151+G149+G147+G145+G143+G141+G139+G136+G132+G134+G130+G128+G126+G124+G122+G120+G118+G116+G112+G110+G107+G105+G103+G101+G99+G97+G95+G93+G91+G89+G87+G85+G83+G81+G79+G77+G75+G73+G70+G68+G66+G64+G62+G60+G57+G55+G53+G51+G49+G47+G45+G43+G41+G39+G37+G35+G33+G31+G29+G27+G25+G23+G21+G19+G17+G15+G13+G11+G9+G7+G5+G114</f>
        <v>109517265.56999999</v>
      </c>
    </row>
    <row r="248" spans="1:7" ht="15.6" x14ac:dyDescent="0.3">
      <c r="A248" s="15">
        <v>244</v>
      </c>
      <c r="B248" s="4"/>
      <c r="C248" s="32" t="s">
        <v>350</v>
      </c>
      <c r="D248" s="33"/>
      <c r="E248" s="33"/>
      <c r="F248" s="34">
        <v>0</v>
      </c>
      <c r="G248" s="35">
        <f>G246+G244+G242+G240+G238+G236+G234+G232+G230+G228+G226+G224+G222+G220+G218+G216+G214+G212+G210+G208+G206+G204+G202+G200+G198+G196+G194+G192+G190+G188+G186+G184+G182+G180+G178+G176+G174+G172+G170+G168+G167+G165+G163+G161+G159+G158+G156+G154+G152+G150+G148+G146+G144+G142+G140+G138+G137+G135+G133+G131+G127+G125+G123+G121+G119+G117+G115+G113+G111+G109+G108+G106+G104+G102+G100+G98+G96+G94+G92+G90+G88+G86+G84+G82+G80+G78+G76+G74+G72+G71+G69+G67+G65+G63+G61+G59+G58+G56+G54+G52+G50+G48+G46+G44+G42+G40+G38+G36+G34+G32+G30+G28+G26+G24+G22+G20+G18+G16+G14+G12+G10+G8+G6+G129</f>
        <v>50841862.86999999</v>
      </c>
    </row>
    <row r="249" spans="1:7" ht="17.399999999999999" x14ac:dyDescent="0.3">
      <c r="A249" s="36"/>
      <c r="B249" s="37"/>
      <c r="C249" s="38" t="s">
        <v>39</v>
      </c>
      <c r="D249" s="37"/>
      <c r="E249" s="37"/>
      <c r="F249" s="39">
        <v>0</v>
      </c>
      <c r="G249" s="40"/>
    </row>
    <row r="250" spans="1:7" ht="46.8" x14ac:dyDescent="0.3">
      <c r="A250" s="15">
        <v>245</v>
      </c>
      <c r="B250" s="76" t="s">
        <v>124</v>
      </c>
      <c r="C250" s="4" t="s">
        <v>246</v>
      </c>
      <c r="D250" s="19" t="s">
        <v>20</v>
      </c>
      <c r="E250" s="19">
        <v>1</v>
      </c>
      <c r="F250" s="83">
        <v>1217224.4562000001</v>
      </c>
      <c r="G250" s="25">
        <f t="shared" ref="G250:G313" si="4">ROUND(E250*F250,2)</f>
        <v>1217224.46</v>
      </c>
    </row>
    <row r="251" spans="1:7" ht="15.6" x14ac:dyDescent="0.3">
      <c r="A251" s="15">
        <v>246</v>
      </c>
      <c r="B251" s="76"/>
      <c r="C251" s="71" t="s">
        <v>66</v>
      </c>
      <c r="D251" s="68" t="s">
        <v>20</v>
      </c>
      <c r="E251" s="68">
        <v>1</v>
      </c>
      <c r="F251" s="84">
        <v>158638.82520000002</v>
      </c>
      <c r="G251" s="63">
        <f t="shared" si="4"/>
        <v>158638.82999999999</v>
      </c>
    </row>
    <row r="252" spans="1:7" ht="46.8" x14ac:dyDescent="0.3">
      <c r="A252" s="15">
        <v>247</v>
      </c>
      <c r="B252" s="76"/>
      <c r="C252" s="4" t="s">
        <v>247</v>
      </c>
      <c r="D252" s="19" t="s">
        <v>20</v>
      </c>
      <c r="E252" s="19">
        <v>1</v>
      </c>
      <c r="F252" s="83">
        <v>49569.572400000005</v>
      </c>
      <c r="G252" s="25">
        <f t="shared" si="4"/>
        <v>49569.57</v>
      </c>
    </row>
    <row r="253" spans="1:7" ht="15.6" x14ac:dyDescent="0.3">
      <c r="A253" s="15">
        <v>248</v>
      </c>
      <c r="B253" s="76"/>
      <c r="C253" s="67" t="s">
        <v>35</v>
      </c>
      <c r="D253" s="68" t="s">
        <v>20</v>
      </c>
      <c r="E253" s="68">
        <v>1</v>
      </c>
      <c r="F253" s="84">
        <v>18952.416000000001</v>
      </c>
      <c r="G253" s="63">
        <f t="shared" si="4"/>
        <v>18952.419999999998</v>
      </c>
    </row>
    <row r="254" spans="1:7" ht="15.6" x14ac:dyDescent="0.3">
      <c r="A254" s="15">
        <v>249</v>
      </c>
      <c r="B254" s="76"/>
      <c r="C254" s="4" t="s">
        <v>125</v>
      </c>
      <c r="D254" s="19" t="s">
        <v>20</v>
      </c>
      <c r="E254" s="19">
        <v>1</v>
      </c>
      <c r="F254" s="83">
        <v>575316.02639999997</v>
      </c>
      <c r="G254" s="25">
        <f t="shared" si="4"/>
        <v>575316.03</v>
      </c>
    </row>
    <row r="255" spans="1:7" ht="15.6" x14ac:dyDescent="0.3">
      <c r="A255" s="15">
        <v>250</v>
      </c>
      <c r="B255" s="76"/>
      <c r="C255" s="66" t="s">
        <v>34</v>
      </c>
      <c r="D255" s="68" t="s">
        <v>20</v>
      </c>
      <c r="E255" s="68">
        <v>1</v>
      </c>
      <c r="F255" s="84">
        <v>47381.04</v>
      </c>
      <c r="G255" s="65">
        <f t="shared" si="4"/>
        <v>47381.04</v>
      </c>
    </row>
    <row r="256" spans="1:7" ht="31.2" x14ac:dyDescent="0.3">
      <c r="A256" s="15">
        <v>251</v>
      </c>
      <c r="B256" s="76" t="s">
        <v>126</v>
      </c>
      <c r="C256" s="4" t="s">
        <v>248</v>
      </c>
      <c r="D256" s="19" t="s">
        <v>20</v>
      </c>
      <c r="E256" s="19">
        <v>1</v>
      </c>
      <c r="F256" s="83">
        <v>481769.25599999999</v>
      </c>
      <c r="G256" s="25">
        <f t="shared" si="4"/>
        <v>481769.26</v>
      </c>
    </row>
    <row r="257" spans="1:7" ht="15.6" x14ac:dyDescent="0.3">
      <c r="A257" s="15">
        <v>252</v>
      </c>
      <c r="B257" s="76"/>
      <c r="C257" s="67" t="s">
        <v>66</v>
      </c>
      <c r="D257" s="68" t="s">
        <v>20</v>
      </c>
      <c r="E257" s="68">
        <v>1</v>
      </c>
      <c r="F257" s="84">
        <v>213214.68</v>
      </c>
      <c r="G257" s="63">
        <f t="shared" si="4"/>
        <v>213214.68</v>
      </c>
    </row>
    <row r="258" spans="1:7" ht="46.8" x14ac:dyDescent="0.3">
      <c r="A258" s="15">
        <v>253</v>
      </c>
      <c r="B258" s="76"/>
      <c r="C258" s="11" t="s">
        <v>247</v>
      </c>
      <c r="D258" s="19" t="s">
        <v>20</v>
      </c>
      <c r="E258" s="19">
        <v>1</v>
      </c>
      <c r="F258" s="83">
        <v>49569.572400000005</v>
      </c>
      <c r="G258" s="25">
        <f t="shared" si="4"/>
        <v>49569.57</v>
      </c>
    </row>
    <row r="259" spans="1:7" ht="15.6" x14ac:dyDescent="0.3">
      <c r="A259" s="15">
        <v>254</v>
      </c>
      <c r="B259" s="76"/>
      <c r="C259" s="67" t="s">
        <v>35</v>
      </c>
      <c r="D259" s="68" t="s">
        <v>20</v>
      </c>
      <c r="E259" s="68">
        <v>1</v>
      </c>
      <c r="F259" s="84">
        <v>18952.416000000001</v>
      </c>
      <c r="G259" s="63">
        <f t="shared" si="4"/>
        <v>18952.419999999998</v>
      </c>
    </row>
    <row r="260" spans="1:7" ht="15.6" x14ac:dyDescent="0.3">
      <c r="A260" s="15">
        <v>255</v>
      </c>
      <c r="B260" s="76"/>
      <c r="C260" s="4" t="s">
        <v>127</v>
      </c>
      <c r="D260" s="19" t="s">
        <v>20</v>
      </c>
      <c r="E260" s="19">
        <v>1</v>
      </c>
      <c r="F260" s="83">
        <v>127918.99559999999</v>
      </c>
      <c r="G260" s="25">
        <f t="shared" si="4"/>
        <v>127919</v>
      </c>
    </row>
    <row r="261" spans="1:7" ht="15.6" x14ac:dyDescent="0.3">
      <c r="A261" s="15">
        <v>256</v>
      </c>
      <c r="B261" s="76"/>
      <c r="C261" s="66" t="s">
        <v>34</v>
      </c>
      <c r="D261" s="68" t="s">
        <v>20</v>
      </c>
      <c r="E261" s="68">
        <v>1</v>
      </c>
      <c r="F261" s="84">
        <v>47381.04</v>
      </c>
      <c r="G261" s="65">
        <f t="shared" si="4"/>
        <v>47381.04</v>
      </c>
    </row>
    <row r="262" spans="1:7" ht="31.2" x14ac:dyDescent="0.3">
      <c r="A262" s="15">
        <v>257</v>
      </c>
      <c r="B262" s="76" t="s">
        <v>129</v>
      </c>
      <c r="C262" s="10" t="s">
        <v>249</v>
      </c>
      <c r="D262" s="19" t="s">
        <v>20</v>
      </c>
      <c r="E262" s="19">
        <v>1</v>
      </c>
      <c r="F262" s="83">
        <v>1112917.4406000001</v>
      </c>
      <c r="G262" s="25">
        <f t="shared" si="4"/>
        <v>1112917.44</v>
      </c>
    </row>
    <row r="263" spans="1:7" ht="15.6" x14ac:dyDescent="0.3">
      <c r="A263" s="15">
        <v>258</v>
      </c>
      <c r="B263" s="76"/>
      <c r="C263" s="67" t="s">
        <v>66</v>
      </c>
      <c r="D263" s="68" t="s">
        <v>20</v>
      </c>
      <c r="E263" s="68">
        <v>1</v>
      </c>
      <c r="F263" s="84">
        <v>307976.76</v>
      </c>
      <c r="G263" s="63">
        <f t="shared" si="4"/>
        <v>307976.76</v>
      </c>
    </row>
    <row r="264" spans="1:7" ht="46.8" x14ac:dyDescent="0.3">
      <c r="A264" s="15">
        <v>259</v>
      </c>
      <c r="B264" s="76"/>
      <c r="C264" s="11" t="s">
        <v>247</v>
      </c>
      <c r="D264" s="19" t="s">
        <v>20</v>
      </c>
      <c r="E264" s="19">
        <v>1</v>
      </c>
      <c r="F264" s="83">
        <v>49569.572400000005</v>
      </c>
      <c r="G264" s="25">
        <f t="shared" si="4"/>
        <v>49569.57</v>
      </c>
    </row>
    <row r="265" spans="1:7" ht="15.6" x14ac:dyDescent="0.3">
      <c r="A265" s="15">
        <v>260</v>
      </c>
      <c r="B265" s="76"/>
      <c r="C265" s="67" t="s">
        <v>35</v>
      </c>
      <c r="D265" s="68" t="s">
        <v>20</v>
      </c>
      <c r="E265" s="68">
        <v>1</v>
      </c>
      <c r="F265" s="84">
        <v>18952.416000000001</v>
      </c>
      <c r="G265" s="63">
        <f t="shared" si="4"/>
        <v>18952.419999999998</v>
      </c>
    </row>
    <row r="266" spans="1:7" ht="15.6" x14ac:dyDescent="0.3">
      <c r="A266" s="15">
        <v>261</v>
      </c>
      <c r="B266" s="76"/>
      <c r="C266" s="4" t="s">
        <v>128</v>
      </c>
      <c r="D266" s="19" t="s">
        <v>20</v>
      </c>
      <c r="E266" s="19">
        <v>1</v>
      </c>
      <c r="F266" s="83">
        <v>559529.42520000006</v>
      </c>
      <c r="G266" s="25">
        <f t="shared" si="4"/>
        <v>559529.43000000005</v>
      </c>
    </row>
    <row r="267" spans="1:7" ht="15.6" x14ac:dyDescent="0.3">
      <c r="A267" s="15">
        <v>262</v>
      </c>
      <c r="B267" s="76"/>
      <c r="C267" s="66" t="s">
        <v>34</v>
      </c>
      <c r="D267" s="68" t="s">
        <v>20</v>
      </c>
      <c r="E267" s="68">
        <v>1</v>
      </c>
      <c r="F267" s="84">
        <v>47381.04</v>
      </c>
      <c r="G267" s="65">
        <f t="shared" si="4"/>
        <v>47381.04</v>
      </c>
    </row>
    <row r="268" spans="1:7" ht="31.2" x14ac:dyDescent="0.3">
      <c r="A268" s="15">
        <v>263</v>
      </c>
      <c r="B268" s="76" t="s">
        <v>131</v>
      </c>
      <c r="C268" s="10" t="s">
        <v>250</v>
      </c>
      <c r="D268" s="19" t="s">
        <v>20</v>
      </c>
      <c r="E268" s="19">
        <v>1</v>
      </c>
      <c r="F268" s="83">
        <v>806654.31120000011</v>
      </c>
      <c r="G268" s="25">
        <f t="shared" si="4"/>
        <v>806654.31</v>
      </c>
    </row>
    <row r="269" spans="1:7" ht="15.6" x14ac:dyDescent="0.3">
      <c r="A269" s="15">
        <v>264</v>
      </c>
      <c r="B269" s="76"/>
      <c r="C269" s="67" t="s">
        <v>66</v>
      </c>
      <c r="D269" s="68" t="s">
        <v>20</v>
      </c>
      <c r="E269" s="68">
        <v>1</v>
      </c>
      <c r="F269" s="84">
        <v>213214.68</v>
      </c>
      <c r="G269" s="63">
        <f t="shared" si="4"/>
        <v>213214.68</v>
      </c>
    </row>
    <row r="270" spans="1:7" ht="46.8" x14ac:dyDescent="0.3">
      <c r="A270" s="15">
        <v>265</v>
      </c>
      <c r="B270" s="76"/>
      <c r="C270" s="11" t="s">
        <v>247</v>
      </c>
      <c r="D270" s="19" t="s">
        <v>20</v>
      </c>
      <c r="E270" s="19">
        <v>1</v>
      </c>
      <c r="F270" s="83">
        <v>49569.572400000005</v>
      </c>
      <c r="G270" s="25">
        <f t="shared" si="4"/>
        <v>49569.57</v>
      </c>
    </row>
    <row r="271" spans="1:7" ht="15.6" x14ac:dyDescent="0.3">
      <c r="A271" s="15">
        <v>266</v>
      </c>
      <c r="B271" s="76"/>
      <c r="C271" s="67" t="s">
        <v>35</v>
      </c>
      <c r="D271" s="68" t="s">
        <v>20</v>
      </c>
      <c r="E271" s="68">
        <v>1</v>
      </c>
      <c r="F271" s="84">
        <v>18952.416000000001</v>
      </c>
      <c r="G271" s="63">
        <f t="shared" si="4"/>
        <v>18952.419999999998</v>
      </c>
    </row>
    <row r="272" spans="1:7" ht="15.6" x14ac:dyDescent="0.3">
      <c r="A272" s="15">
        <v>267</v>
      </c>
      <c r="B272" s="76"/>
      <c r="C272" s="4" t="s">
        <v>130</v>
      </c>
      <c r="D272" s="19" t="s">
        <v>20</v>
      </c>
      <c r="E272" s="19">
        <v>1</v>
      </c>
      <c r="F272" s="83">
        <v>343836.52260000003</v>
      </c>
      <c r="G272" s="25">
        <f t="shared" si="4"/>
        <v>343836.52</v>
      </c>
    </row>
    <row r="273" spans="1:7" ht="15.6" x14ac:dyDescent="0.3">
      <c r="A273" s="15">
        <v>268</v>
      </c>
      <c r="B273" s="76"/>
      <c r="C273" s="66" t="s">
        <v>34</v>
      </c>
      <c r="D273" s="68" t="s">
        <v>20</v>
      </c>
      <c r="E273" s="68">
        <v>1</v>
      </c>
      <c r="F273" s="84">
        <v>47381.04</v>
      </c>
      <c r="G273" s="65">
        <f t="shared" si="4"/>
        <v>47381.04</v>
      </c>
    </row>
    <row r="274" spans="1:7" ht="31.2" x14ac:dyDescent="0.3">
      <c r="A274" s="15">
        <v>269</v>
      </c>
      <c r="B274" s="76" t="s">
        <v>133</v>
      </c>
      <c r="C274" s="10" t="s">
        <v>251</v>
      </c>
      <c r="D274" s="19" t="s">
        <v>20</v>
      </c>
      <c r="E274" s="19">
        <v>1</v>
      </c>
      <c r="F274" s="83">
        <v>762490.27980000002</v>
      </c>
      <c r="G274" s="25">
        <f t="shared" si="4"/>
        <v>762490.28</v>
      </c>
    </row>
    <row r="275" spans="1:7" ht="15.6" x14ac:dyDescent="0.3">
      <c r="A275" s="15">
        <v>270</v>
      </c>
      <c r="B275" s="76"/>
      <c r="C275" s="67" t="s">
        <v>66</v>
      </c>
      <c r="D275" s="68" t="s">
        <v>20</v>
      </c>
      <c r="E275" s="68">
        <v>1</v>
      </c>
      <c r="F275" s="84">
        <v>213214.68</v>
      </c>
      <c r="G275" s="63">
        <f t="shared" si="4"/>
        <v>213214.68</v>
      </c>
    </row>
    <row r="276" spans="1:7" ht="46.8" x14ac:dyDescent="0.3">
      <c r="A276" s="15">
        <v>271</v>
      </c>
      <c r="B276" s="76"/>
      <c r="C276" s="11" t="s">
        <v>327</v>
      </c>
      <c r="D276" s="19" t="s">
        <v>20</v>
      </c>
      <c r="E276" s="19">
        <v>1</v>
      </c>
      <c r="F276" s="83">
        <v>49569.572400000005</v>
      </c>
      <c r="G276" s="25">
        <f t="shared" si="4"/>
        <v>49569.57</v>
      </c>
    </row>
    <row r="277" spans="1:7" ht="15.6" x14ac:dyDescent="0.3">
      <c r="A277" s="15">
        <v>272</v>
      </c>
      <c r="B277" s="76"/>
      <c r="C277" s="67" t="s">
        <v>35</v>
      </c>
      <c r="D277" s="68" t="s">
        <v>20</v>
      </c>
      <c r="E277" s="68">
        <v>1</v>
      </c>
      <c r="F277" s="84">
        <v>18952.416000000001</v>
      </c>
      <c r="G277" s="63">
        <f t="shared" si="4"/>
        <v>18952.419999999998</v>
      </c>
    </row>
    <row r="278" spans="1:7" ht="15.6" x14ac:dyDescent="0.3">
      <c r="A278" s="15">
        <v>273</v>
      </c>
      <c r="B278" s="76"/>
      <c r="C278" s="4" t="s">
        <v>132</v>
      </c>
      <c r="D278" s="19" t="s">
        <v>20</v>
      </c>
      <c r="E278" s="19">
        <v>1</v>
      </c>
      <c r="F278" s="83">
        <v>156319.28400000001</v>
      </c>
      <c r="G278" s="25">
        <f t="shared" si="4"/>
        <v>156319.28</v>
      </c>
    </row>
    <row r="279" spans="1:7" ht="15.6" x14ac:dyDescent="0.3">
      <c r="A279" s="15">
        <v>274</v>
      </c>
      <c r="B279" s="76"/>
      <c r="C279" s="66" t="s">
        <v>34</v>
      </c>
      <c r="D279" s="68" t="s">
        <v>20</v>
      </c>
      <c r="E279" s="68">
        <v>1</v>
      </c>
      <c r="F279" s="84">
        <v>47381.04</v>
      </c>
      <c r="G279" s="65">
        <f t="shared" si="4"/>
        <v>47381.04</v>
      </c>
    </row>
    <row r="280" spans="1:7" ht="31.2" x14ac:dyDescent="0.3">
      <c r="A280" s="15">
        <v>275</v>
      </c>
      <c r="B280" s="76" t="s">
        <v>135</v>
      </c>
      <c r="C280" s="20" t="s">
        <v>252</v>
      </c>
      <c r="D280" s="19" t="s">
        <v>20</v>
      </c>
      <c r="E280" s="19">
        <v>1</v>
      </c>
      <c r="F280" s="83">
        <v>668835.90960000001</v>
      </c>
      <c r="G280" s="25">
        <f t="shared" si="4"/>
        <v>668835.91</v>
      </c>
    </row>
    <row r="281" spans="1:7" ht="15.6" x14ac:dyDescent="0.3">
      <c r="A281" s="15">
        <v>276</v>
      </c>
      <c r="B281" s="76"/>
      <c r="C281" s="67" t="s">
        <v>66</v>
      </c>
      <c r="D281" s="68" t="s">
        <v>20</v>
      </c>
      <c r="E281" s="68">
        <v>1</v>
      </c>
      <c r="F281" s="84">
        <v>213214.68</v>
      </c>
      <c r="G281" s="63">
        <f t="shared" si="4"/>
        <v>213214.68</v>
      </c>
    </row>
    <row r="282" spans="1:7" ht="46.8" x14ac:dyDescent="0.3">
      <c r="A282" s="15">
        <v>277</v>
      </c>
      <c r="B282" s="76"/>
      <c r="C282" s="11" t="s">
        <v>247</v>
      </c>
      <c r="D282" s="19" t="s">
        <v>20</v>
      </c>
      <c r="E282" s="19">
        <v>1</v>
      </c>
      <c r="F282" s="83">
        <v>49569.572400000005</v>
      </c>
      <c r="G282" s="23">
        <f t="shared" si="4"/>
        <v>49569.57</v>
      </c>
    </row>
    <row r="283" spans="1:7" ht="15.6" x14ac:dyDescent="0.3">
      <c r="A283" s="15">
        <v>278</v>
      </c>
      <c r="B283" s="76"/>
      <c r="C283" s="67" t="s">
        <v>35</v>
      </c>
      <c r="D283" s="68" t="s">
        <v>20</v>
      </c>
      <c r="E283" s="68">
        <v>1</v>
      </c>
      <c r="F283" s="84">
        <v>18952.416000000001</v>
      </c>
      <c r="G283" s="65">
        <f t="shared" si="4"/>
        <v>18952.419999999998</v>
      </c>
    </row>
    <row r="284" spans="1:7" ht="15.6" x14ac:dyDescent="0.3">
      <c r="A284" s="15">
        <v>279</v>
      </c>
      <c r="B284" s="76"/>
      <c r="C284" s="4" t="s">
        <v>134</v>
      </c>
      <c r="D284" s="19" t="s">
        <v>20</v>
      </c>
      <c r="E284" s="19">
        <v>1</v>
      </c>
      <c r="F284" s="83">
        <v>156319.28400000001</v>
      </c>
      <c r="G284" s="23">
        <f t="shared" si="4"/>
        <v>156319.28</v>
      </c>
    </row>
    <row r="285" spans="1:7" ht="15.6" x14ac:dyDescent="0.3">
      <c r="A285" s="15">
        <v>280</v>
      </c>
      <c r="B285" s="76"/>
      <c r="C285" s="66" t="s">
        <v>34</v>
      </c>
      <c r="D285" s="68" t="s">
        <v>20</v>
      </c>
      <c r="E285" s="68">
        <v>1</v>
      </c>
      <c r="F285" s="84">
        <v>47381.04</v>
      </c>
      <c r="G285" s="63">
        <f t="shared" si="4"/>
        <v>47381.04</v>
      </c>
    </row>
    <row r="286" spans="1:7" ht="31.2" x14ac:dyDescent="0.3">
      <c r="A286" s="15">
        <v>281</v>
      </c>
      <c r="B286" s="76" t="s">
        <v>137</v>
      </c>
      <c r="C286" s="20" t="s">
        <v>253</v>
      </c>
      <c r="D286" s="19" t="s">
        <v>20</v>
      </c>
      <c r="E286" s="19">
        <v>1</v>
      </c>
      <c r="F286" s="83">
        <v>619345.56060000008</v>
      </c>
      <c r="G286" s="23">
        <f t="shared" si="4"/>
        <v>619345.56000000006</v>
      </c>
    </row>
    <row r="287" spans="1:7" ht="15.6" x14ac:dyDescent="0.3">
      <c r="A287" s="15">
        <v>282</v>
      </c>
      <c r="B287" s="76"/>
      <c r="C287" s="67" t="s">
        <v>66</v>
      </c>
      <c r="D287" s="68" t="s">
        <v>20</v>
      </c>
      <c r="E287" s="68">
        <v>1</v>
      </c>
      <c r="F287" s="84">
        <v>213214.68</v>
      </c>
      <c r="G287" s="65">
        <f t="shared" si="4"/>
        <v>213214.68</v>
      </c>
    </row>
    <row r="288" spans="1:7" ht="46.8" x14ac:dyDescent="0.3">
      <c r="A288" s="15">
        <v>283</v>
      </c>
      <c r="B288" s="76"/>
      <c r="C288" s="11" t="s">
        <v>247</v>
      </c>
      <c r="D288" s="19" t="s">
        <v>20</v>
      </c>
      <c r="E288" s="19">
        <v>1</v>
      </c>
      <c r="F288" s="83">
        <v>49569.572400000005</v>
      </c>
      <c r="G288" s="25">
        <f t="shared" si="4"/>
        <v>49569.57</v>
      </c>
    </row>
    <row r="289" spans="1:7" ht="15.6" x14ac:dyDescent="0.3">
      <c r="A289" s="15">
        <v>284</v>
      </c>
      <c r="B289" s="76"/>
      <c r="C289" s="67" t="s">
        <v>35</v>
      </c>
      <c r="D289" s="68" t="s">
        <v>20</v>
      </c>
      <c r="E289" s="68">
        <v>1</v>
      </c>
      <c r="F289" s="84">
        <v>18952.416000000001</v>
      </c>
      <c r="G289" s="63">
        <f t="shared" si="4"/>
        <v>18952.419999999998</v>
      </c>
    </row>
    <row r="290" spans="1:7" ht="15.6" x14ac:dyDescent="0.3">
      <c r="A290" s="15">
        <v>285</v>
      </c>
      <c r="B290" s="76"/>
      <c r="C290" s="4" t="s">
        <v>136</v>
      </c>
      <c r="D290" s="19" t="s">
        <v>20</v>
      </c>
      <c r="E290" s="19">
        <v>1</v>
      </c>
      <c r="F290" s="83">
        <v>156318.76380000002</v>
      </c>
      <c r="G290" s="25">
        <f t="shared" si="4"/>
        <v>156318.76</v>
      </c>
    </row>
    <row r="291" spans="1:7" ht="15.6" x14ac:dyDescent="0.3">
      <c r="A291" s="15">
        <v>286</v>
      </c>
      <c r="B291" s="76"/>
      <c r="C291" s="66" t="s">
        <v>34</v>
      </c>
      <c r="D291" s="68" t="s">
        <v>20</v>
      </c>
      <c r="E291" s="68">
        <v>1</v>
      </c>
      <c r="F291" s="84">
        <v>47381.04</v>
      </c>
      <c r="G291" s="65">
        <f t="shared" si="4"/>
        <v>47381.04</v>
      </c>
    </row>
    <row r="292" spans="1:7" ht="31.2" x14ac:dyDescent="0.3">
      <c r="A292" s="15">
        <v>287</v>
      </c>
      <c r="B292" s="76" t="s">
        <v>139</v>
      </c>
      <c r="C292" s="20" t="s">
        <v>254</v>
      </c>
      <c r="D292" s="19" t="s">
        <v>20</v>
      </c>
      <c r="E292" s="19">
        <v>1</v>
      </c>
      <c r="F292" s="83">
        <v>139291.22039999999</v>
      </c>
      <c r="G292" s="25">
        <f t="shared" si="4"/>
        <v>139291.22</v>
      </c>
    </row>
    <row r="293" spans="1:7" ht="15.6" x14ac:dyDescent="0.3">
      <c r="A293" s="15">
        <v>288</v>
      </c>
      <c r="B293" s="76"/>
      <c r="C293" s="67" t="s">
        <v>66</v>
      </c>
      <c r="D293" s="68" t="s">
        <v>20</v>
      </c>
      <c r="E293" s="68">
        <v>1</v>
      </c>
      <c r="F293" s="84">
        <v>106607.34</v>
      </c>
      <c r="G293" s="63">
        <f t="shared" si="4"/>
        <v>106607.34</v>
      </c>
    </row>
    <row r="294" spans="1:7" ht="46.8" x14ac:dyDescent="0.3">
      <c r="A294" s="15">
        <v>289</v>
      </c>
      <c r="B294" s="76"/>
      <c r="C294" s="11" t="s">
        <v>247</v>
      </c>
      <c r="D294" s="19" t="s">
        <v>20</v>
      </c>
      <c r="E294" s="19">
        <v>1</v>
      </c>
      <c r="F294" s="83">
        <v>49569.572400000005</v>
      </c>
      <c r="G294" s="25">
        <f t="shared" si="4"/>
        <v>49569.57</v>
      </c>
    </row>
    <row r="295" spans="1:7" ht="15.6" x14ac:dyDescent="0.3">
      <c r="A295" s="15">
        <v>290</v>
      </c>
      <c r="B295" s="76"/>
      <c r="C295" s="67" t="s">
        <v>35</v>
      </c>
      <c r="D295" s="68" t="s">
        <v>20</v>
      </c>
      <c r="E295" s="68">
        <v>1</v>
      </c>
      <c r="F295" s="84">
        <v>18952.416000000001</v>
      </c>
      <c r="G295" s="63">
        <f t="shared" si="4"/>
        <v>18952.419999999998</v>
      </c>
    </row>
    <row r="296" spans="1:7" ht="15.6" x14ac:dyDescent="0.3">
      <c r="A296" s="15">
        <v>291</v>
      </c>
      <c r="B296" s="76"/>
      <c r="C296" s="11" t="s">
        <v>138</v>
      </c>
      <c r="D296" s="19" t="s">
        <v>20</v>
      </c>
      <c r="E296" s="19">
        <v>1</v>
      </c>
      <c r="F296" s="83">
        <v>101637.12480000001</v>
      </c>
      <c r="G296" s="25">
        <f t="shared" si="4"/>
        <v>101637.12</v>
      </c>
    </row>
    <row r="297" spans="1:7" ht="15.6" x14ac:dyDescent="0.3">
      <c r="A297" s="15">
        <v>292</v>
      </c>
      <c r="B297" s="76"/>
      <c r="C297" s="66" t="s">
        <v>34</v>
      </c>
      <c r="D297" s="68" t="s">
        <v>20</v>
      </c>
      <c r="E297" s="68">
        <v>1</v>
      </c>
      <c r="F297" s="84">
        <v>47381.04</v>
      </c>
      <c r="G297" s="65">
        <f t="shared" si="4"/>
        <v>47381.04</v>
      </c>
    </row>
    <row r="298" spans="1:7" ht="31.2" x14ac:dyDescent="0.3">
      <c r="A298" s="15">
        <v>293</v>
      </c>
      <c r="B298" s="76" t="s">
        <v>30</v>
      </c>
      <c r="C298" s="20" t="s">
        <v>255</v>
      </c>
      <c r="D298" s="19" t="s">
        <v>20</v>
      </c>
      <c r="E298" s="19">
        <v>1</v>
      </c>
      <c r="F298" s="83">
        <v>113164.0224</v>
      </c>
      <c r="G298" s="25">
        <f t="shared" si="4"/>
        <v>113164.02</v>
      </c>
    </row>
    <row r="299" spans="1:7" ht="15.6" x14ac:dyDescent="0.3">
      <c r="A299" s="15">
        <v>294</v>
      </c>
      <c r="B299" s="76"/>
      <c r="C299" s="67" t="s">
        <v>66</v>
      </c>
      <c r="D299" s="68" t="s">
        <v>20</v>
      </c>
      <c r="E299" s="68">
        <v>1</v>
      </c>
      <c r="F299" s="84">
        <v>106607.34</v>
      </c>
      <c r="G299" s="63">
        <f t="shared" si="4"/>
        <v>106607.34</v>
      </c>
    </row>
    <row r="300" spans="1:7" ht="46.8" x14ac:dyDescent="0.3">
      <c r="A300" s="15">
        <v>295</v>
      </c>
      <c r="B300" s="76"/>
      <c r="C300" s="11" t="s">
        <v>247</v>
      </c>
      <c r="D300" s="19" t="s">
        <v>20</v>
      </c>
      <c r="E300" s="19">
        <v>1</v>
      </c>
      <c r="F300" s="83">
        <v>49569.572400000005</v>
      </c>
      <c r="G300" s="23">
        <f t="shared" si="4"/>
        <v>49569.57</v>
      </c>
    </row>
    <row r="301" spans="1:7" ht="15.6" x14ac:dyDescent="0.3">
      <c r="A301" s="15">
        <v>296</v>
      </c>
      <c r="B301" s="76"/>
      <c r="C301" s="67" t="s">
        <v>35</v>
      </c>
      <c r="D301" s="68" t="s">
        <v>20</v>
      </c>
      <c r="E301" s="68">
        <v>1</v>
      </c>
      <c r="F301" s="84">
        <v>18952.416000000001</v>
      </c>
      <c r="G301" s="65">
        <f t="shared" si="4"/>
        <v>18952.419999999998</v>
      </c>
    </row>
    <row r="302" spans="1:7" ht="15.6" x14ac:dyDescent="0.3">
      <c r="A302" s="15">
        <v>297</v>
      </c>
      <c r="B302" s="76"/>
      <c r="C302" s="11" t="s">
        <v>17</v>
      </c>
      <c r="D302" s="19" t="s">
        <v>20</v>
      </c>
      <c r="E302" s="19">
        <v>1</v>
      </c>
      <c r="F302" s="83">
        <v>101637.12480000001</v>
      </c>
      <c r="G302" s="23">
        <f t="shared" si="4"/>
        <v>101637.12</v>
      </c>
    </row>
    <row r="303" spans="1:7" ht="15.6" x14ac:dyDescent="0.3">
      <c r="A303" s="15">
        <v>298</v>
      </c>
      <c r="B303" s="76"/>
      <c r="C303" s="66" t="s">
        <v>34</v>
      </c>
      <c r="D303" s="68" t="s">
        <v>20</v>
      </c>
      <c r="E303" s="68">
        <v>1</v>
      </c>
      <c r="F303" s="84">
        <v>47381.04</v>
      </c>
      <c r="G303" s="65">
        <f t="shared" si="4"/>
        <v>47381.04</v>
      </c>
    </row>
    <row r="304" spans="1:7" ht="31.2" x14ac:dyDescent="0.3">
      <c r="A304" s="15">
        <v>299</v>
      </c>
      <c r="B304" s="76" t="s">
        <v>141</v>
      </c>
      <c r="C304" s="20" t="s">
        <v>256</v>
      </c>
      <c r="D304" s="19" t="s">
        <v>20</v>
      </c>
      <c r="E304" s="19">
        <v>1</v>
      </c>
      <c r="F304" s="83">
        <v>123568.24679999999</v>
      </c>
      <c r="G304" s="25">
        <f t="shared" si="4"/>
        <v>123568.25</v>
      </c>
    </row>
    <row r="305" spans="1:7" ht="15.6" x14ac:dyDescent="0.3">
      <c r="A305" s="15">
        <v>300</v>
      </c>
      <c r="B305" s="76"/>
      <c r="C305" s="67" t="s">
        <v>66</v>
      </c>
      <c r="D305" s="68" t="s">
        <v>20</v>
      </c>
      <c r="E305" s="68">
        <v>1</v>
      </c>
      <c r="F305" s="84">
        <v>106607.34</v>
      </c>
      <c r="G305" s="63">
        <f t="shared" si="4"/>
        <v>106607.34</v>
      </c>
    </row>
    <row r="306" spans="1:7" ht="46.8" x14ac:dyDescent="0.3">
      <c r="A306" s="15">
        <v>301</v>
      </c>
      <c r="B306" s="76"/>
      <c r="C306" s="11" t="s">
        <v>247</v>
      </c>
      <c r="D306" s="19" t="s">
        <v>20</v>
      </c>
      <c r="E306" s="19">
        <v>1</v>
      </c>
      <c r="F306" s="83">
        <v>49569.572400000005</v>
      </c>
      <c r="G306" s="25">
        <f t="shared" si="4"/>
        <v>49569.57</v>
      </c>
    </row>
    <row r="307" spans="1:7" ht="15.6" x14ac:dyDescent="0.3">
      <c r="A307" s="15">
        <v>302</v>
      </c>
      <c r="B307" s="76"/>
      <c r="C307" s="67" t="s">
        <v>35</v>
      </c>
      <c r="D307" s="68" t="s">
        <v>20</v>
      </c>
      <c r="E307" s="68">
        <v>1</v>
      </c>
      <c r="F307" s="84">
        <v>18952.416000000001</v>
      </c>
      <c r="G307" s="65">
        <f t="shared" si="4"/>
        <v>18952.419999999998</v>
      </c>
    </row>
    <row r="308" spans="1:7" ht="15.6" x14ac:dyDescent="0.3">
      <c r="A308" s="15">
        <v>303</v>
      </c>
      <c r="B308" s="76"/>
      <c r="C308" s="11" t="s">
        <v>140</v>
      </c>
      <c r="D308" s="19" t="s">
        <v>20</v>
      </c>
      <c r="E308" s="19">
        <v>1</v>
      </c>
      <c r="F308" s="83">
        <v>101637.12480000001</v>
      </c>
      <c r="G308" s="23">
        <f t="shared" si="4"/>
        <v>101637.12</v>
      </c>
    </row>
    <row r="309" spans="1:7" ht="15.6" x14ac:dyDescent="0.3">
      <c r="A309" s="15">
        <v>304</v>
      </c>
      <c r="B309" s="76"/>
      <c r="C309" s="66" t="s">
        <v>34</v>
      </c>
      <c r="D309" s="68" t="s">
        <v>20</v>
      </c>
      <c r="E309" s="68">
        <v>1</v>
      </c>
      <c r="F309" s="84">
        <v>47381.04</v>
      </c>
      <c r="G309" s="65">
        <f t="shared" si="4"/>
        <v>47381.04</v>
      </c>
    </row>
    <row r="310" spans="1:7" ht="31.2" x14ac:dyDescent="0.3">
      <c r="A310" s="15">
        <v>305</v>
      </c>
      <c r="B310" s="76" t="s">
        <v>31</v>
      </c>
      <c r="C310" s="20" t="s">
        <v>257</v>
      </c>
      <c r="D310" s="19" t="s">
        <v>20</v>
      </c>
      <c r="E310" s="19">
        <v>1</v>
      </c>
      <c r="F310" s="83">
        <v>527143.81319999998</v>
      </c>
      <c r="G310" s="25">
        <f t="shared" si="4"/>
        <v>527143.81000000006</v>
      </c>
    </row>
    <row r="311" spans="1:7" ht="15.6" x14ac:dyDescent="0.3">
      <c r="A311" s="15">
        <v>306</v>
      </c>
      <c r="B311" s="76"/>
      <c r="C311" s="67" t="s">
        <v>66</v>
      </c>
      <c r="D311" s="68" t="s">
        <v>20</v>
      </c>
      <c r="E311" s="68">
        <v>1</v>
      </c>
      <c r="F311" s="84">
        <v>213214.68</v>
      </c>
      <c r="G311" s="63">
        <f t="shared" si="4"/>
        <v>213214.68</v>
      </c>
    </row>
    <row r="312" spans="1:7" ht="46.8" x14ac:dyDescent="0.3">
      <c r="A312" s="15">
        <v>307</v>
      </c>
      <c r="B312" s="76"/>
      <c r="C312" s="11" t="s">
        <v>247</v>
      </c>
      <c r="D312" s="19" t="s">
        <v>20</v>
      </c>
      <c r="E312" s="19">
        <v>1</v>
      </c>
      <c r="F312" s="83">
        <v>49569.572400000005</v>
      </c>
      <c r="G312" s="23">
        <f t="shared" si="4"/>
        <v>49569.57</v>
      </c>
    </row>
    <row r="313" spans="1:7" ht="15.6" x14ac:dyDescent="0.3">
      <c r="A313" s="15">
        <v>308</v>
      </c>
      <c r="B313" s="76"/>
      <c r="C313" s="67" t="s">
        <v>35</v>
      </c>
      <c r="D313" s="68" t="s">
        <v>20</v>
      </c>
      <c r="E313" s="68">
        <v>1</v>
      </c>
      <c r="F313" s="84">
        <v>18952.416000000001</v>
      </c>
      <c r="G313" s="65">
        <f t="shared" si="4"/>
        <v>18952.419999999998</v>
      </c>
    </row>
    <row r="314" spans="1:7" ht="15.6" x14ac:dyDescent="0.3">
      <c r="A314" s="15">
        <v>309</v>
      </c>
      <c r="B314" s="76"/>
      <c r="C314" s="11" t="s">
        <v>32</v>
      </c>
      <c r="D314" s="19" t="s">
        <v>20</v>
      </c>
      <c r="E314" s="19">
        <v>1</v>
      </c>
      <c r="F314" s="83">
        <v>145027.7616</v>
      </c>
      <c r="G314" s="23">
        <f t="shared" ref="G314:G354" si="5">ROUND(E314*F314,2)</f>
        <v>145027.76</v>
      </c>
    </row>
    <row r="315" spans="1:7" ht="15.6" x14ac:dyDescent="0.3">
      <c r="A315" s="15">
        <v>310</v>
      </c>
      <c r="B315" s="76"/>
      <c r="C315" s="66" t="s">
        <v>34</v>
      </c>
      <c r="D315" s="68" t="s">
        <v>20</v>
      </c>
      <c r="E315" s="68">
        <v>1</v>
      </c>
      <c r="F315" s="84">
        <v>47381.04</v>
      </c>
      <c r="G315" s="65">
        <f t="shared" si="5"/>
        <v>47381.04</v>
      </c>
    </row>
    <row r="316" spans="1:7" ht="46.8" x14ac:dyDescent="0.3">
      <c r="A316" s="15">
        <v>311</v>
      </c>
      <c r="B316" s="76" t="s">
        <v>143</v>
      </c>
      <c r="C316" s="20" t="s">
        <v>258</v>
      </c>
      <c r="D316" s="19" t="s">
        <v>20</v>
      </c>
      <c r="E316" s="19">
        <v>1</v>
      </c>
      <c r="F316" s="83">
        <v>606352.57620000001</v>
      </c>
      <c r="G316" s="25">
        <f t="shared" si="5"/>
        <v>606352.57999999996</v>
      </c>
    </row>
    <row r="317" spans="1:7" ht="15.6" x14ac:dyDescent="0.3">
      <c r="A317" s="15">
        <v>312</v>
      </c>
      <c r="B317" s="76"/>
      <c r="C317" s="67" t="s">
        <v>66</v>
      </c>
      <c r="D317" s="68" t="s">
        <v>20</v>
      </c>
      <c r="E317" s="68">
        <v>1</v>
      </c>
      <c r="F317" s="84">
        <v>213214.68</v>
      </c>
      <c r="G317" s="63">
        <f t="shared" si="5"/>
        <v>213214.68</v>
      </c>
    </row>
    <row r="318" spans="1:7" ht="15.6" x14ac:dyDescent="0.3">
      <c r="A318" s="15">
        <v>313</v>
      </c>
      <c r="B318" s="76"/>
      <c r="C318" s="67" t="s">
        <v>35</v>
      </c>
      <c r="D318" s="68" t="s">
        <v>20</v>
      </c>
      <c r="E318" s="68">
        <v>1</v>
      </c>
      <c r="F318" s="84">
        <v>18952.416000000001</v>
      </c>
      <c r="G318" s="63">
        <f t="shared" si="5"/>
        <v>18952.419999999998</v>
      </c>
    </row>
    <row r="319" spans="1:7" ht="15.6" x14ac:dyDescent="0.3">
      <c r="A319" s="15">
        <v>314</v>
      </c>
      <c r="B319" s="76"/>
      <c r="C319" s="11" t="s">
        <v>142</v>
      </c>
      <c r="D319" s="19" t="s">
        <v>20</v>
      </c>
      <c r="E319" s="19">
        <v>1</v>
      </c>
      <c r="F319" s="83">
        <v>156319.28400000001</v>
      </c>
      <c r="G319" s="25">
        <f t="shared" si="5"/>
        <v>156319.28</v>
      </c>
    </row>
    <row r="320" spans="1:7" ht="15.6" x14ac:dyDescent="0.3">
      <c r="A320" s="15">
        <v>315</v>
      </c>
      <c r="B320" s="76"/>
      <c r="C320" s="66" t="s">
        <v>34</v>
      </c>
      <c r="D320" s="68" t="s">
        <v>20</v>
      </c>
      <c r="E320" s="68">
        <v>1</v>
      </c>
      <c r="F320" s="84">
        <v>47381.04</v>
      </c>
      <c r="G320" s="63">
        <f t="shared" si="5"/>
        <v>47381.04</v>
      </c>
    </row>
    <row r="321" spans="1:7" ht="46.8" x14ac:dyDescent="0.3">
      <c r="A321" s="15">
        <v>316</v>
      </c>
      <c r="B321" s="76" t="s">
        <v>145</v>
      </c>
      <c r="C321" s="20" t="s">
        <v>259</v>
      </c>
      <c r="D321" s="19" t="s">
        <v>20</v>
      </c>
      <c r="E321" s="19">
        <v>1</v>
      </c>
      <c r="F321" s="83">
        <v>541871.87879999995</v>
      </c>
      <c r="G321" s="25">
        <f t="shared" si="5"/>
        <v>541871.88</v>
      </c>
    </row>
    <row r="322" spans="1:7" ht="15.6" x14ac:dyDescent="0.3">
      <c r="A322" s="15">
        <v>317</v>
      </c>
      <c r="B322" s="76"/>
      <c r="C322" s="67" t="s">
        <v>66</v>
      </c>
      <c r="D322" s="68" t="s">
        <v>20</v>
      </c>
      <c r="E322" s="68">
        <v>1</v>
      </c>
      <c r="F322" s="84">
        <v>213214.68</v>
      </c>
      <c r="G322" s="63">
        <f t="shared" si="5"/>
        <v>213214.68</v>
      </c>
    </row>
    <row r="323" spans="1:7" ht="15.6" x14ac:dyDescent="0.3">
      <c r="A323" s="15">
        <v>318</v>
      </c>
      <c r="B323" s="76"/>
      <c r="C323" s="67" t="s">
        <v>35</v>
      </c>
      <c r="D323" s="68" t="s">
        <v>20</v>
      </c>
      <c r="E323" s="68">
        <v>1</v>
      </c>
      <c r="F323" s="84">
        <v>18952.416000000001</v>
      </c>
      <c r="G323" s="63">
        <f t="shared" si="5"/>
        <v>18952.419999999998</v>
      </c>
    </row>
    <row r="324" spans="1:7" ht="15.6" x14ac:dyDescent="0.3">
      <c r="A324" s="15">
        <v>319</v>
      </c>
      <c r="B324" s="76"/>
      <c r="C324" s="11" t="s">
        <v>144</v>
      </c>
      <c r="D324" s="19" t="s">
        <v>20</v>
      </c>
      <c r="E324" s="19">
        <v>1</v>
      </c>
      <c r="F324" s="83">
        <v>106627.179</v>
      </c>
      <c r="G324" s="23">
        <f t="shared" si="5"/>
        <v>106627.18</v>
      </c>
    </row>
    <row r="325" spans="1:7" ht="15.6" x14ac:dyDescent="0.3">
      <c r="A325" s="15">
        <v>320</v>
      </c>
      <c r="B325" s="76"/>
      <c r="C325" s="66" t="s">
        <v>34</v>
      </c>
      <c r="D325" s="68" t="s">
        <v>20</v>
      </c>
      <c r="E325" s="68">
        <v>1</v>
      </c>
      <c r="F325" s="84">
        <v>47381.04</v>
      </c>
      <c r="G325" s="65">
        <f t="shared" si="5"/>
        <v>47381.04</v>
      </c>
    </row>
    <row r="326" spans="1:7" ht="46.8" x14ac:dyDescent="0.3">
      <c r="A326" s="15">
        <v>321</v>
      </c>
      <c r="B326" s="76" t="s">
        <v>147</v>
      </c>
      <c r="C326" s="20" t="s">
        <v>260</v>
      </c>
      <c r="D326" s="19" t="s">
        <v>20</v>
      </c>
      <c r="E326" s="19">
        <v>1</v>
      </c>
      <c r="F326" s="83">
        <v>606352.57620000001</v>
      </c>
      <c r="G326" s="23">
        <f t="shared" si="5"/>
        <v>606352.57999999996</v>
      </c>
    </row>
    <row r="327" spans="1:7" ht="15.6" x14ac:dyDescent="0.3">
      <c r="A327" s="15">
        <v>322</v>
      </c>
      <c r="B327" s="76"/>
      <c r="C327" s="67" t="s">
        <v>66</v>
      </c>
      <c r="D327" s="68" t="s">
        <v>20</v>
      </c>
      <c r="E327" s="68">
        <v>1</v>
      </c>
      <c r="F327" s="84">
        <v>213214.68</v>
      </c>
      <c r="G327" s="65">
        <f t="shared" si="5"/>
        <v>213214.68</v>
      </c>
    </row>
    <row r="328" spans="1:7" ht="15.6" x14ac:dyDescent="0.3">
      <c r="A328" s="15">
        <v>323</v>
      </c>
      <c r="B328" s="76"/>
      <c r="C328" s="67" t="s">
        <v>35</v>
      </c>
      <c r="D328" s="68" t="s">
        <v>20</v>
      </c>
      <c r="E328" s="68">
        <v>1</v>
      </c>
      <c r="F328" s="84">
        <v>18952.416000000001</v>
      </c>
      <c r="G328" s="65">
        <f t="shared" si="5"/>
        <v>18952.419999999998</v>
      </c>
    </row>
    <row r="329" spans="1:7" ht="15.6" x14ac:dyDescent="0.3">
      <c r="A329" s="15">
        <v>324</v>
      </c>
      <c r="B329" s="76"/>
      <c r="C329" s="11" t="s">
        <v>146</v>
      </c>
      <c r="D329" s="19" t="s">
        <v>20</v>
      </c>
      <c r="E329" s="19">
        <v>1</v>
      </c>
      <c r="F329" s="83">
        <v>156319.28400000001</v>
      </c>
      <c r="G329" s="25">
        <f t="shared" si="5"/>
        <v>156319.28</v>
      </c>
    </row>
    <row r="330" spans="1:7" ht="15.6" x14ac:dyDescent="0.3">
      <c r="A330" s="15">
        <v>325</v>
      </c>
      <c r="B330" s="76"/>
      <c r="C330" s="66" t="s">
        <v>34</v>
      </c>
      <c r="D330" s="68" t="s">
        <v>20</v>
      </c>
      <c r="E330" s="68">
        <v>1</v>
      </c>
      <c r="F330" s="84">
        <v>47381.04</v>
      </c>
      <c r="G330" s="63">
        <f t="shared" si="5"/>
        <v>47381.04</v>
      </c>
    </row>
    <row r="331" spans="1:7" ht="46.8" x14ac:dyDescent="0.3">
      <c r="A331" s="15">
        <v>326</v>
      </c>
      <c r="B331" s="76" t="s">
        <v>148</v>
      </c>
      <c r="C331" s="20" t="s">
        <v>261</v>
      </c>
      <c r="D331" s="19" t="s">
        <v>20</v>
      </c>
      <c r="E331" s="19">
        <v>2</v>
      </c>
      <c r="F331" s="83">
        <v>532974.51060000004</v>
      </c>
      <c r="G331" s="25">
        <f t="shared" si="5"/>
        <v>1065949.02</v>
      </c>
    </row>
    <row r="332" spans="1:7" ht="15.6" x14ac:dyDescent="0.3">
      <c r="A332" s="15">
        <v>327</v>
      </c>
      <c r="B332" s="76"/>
      <c r="C332" s="67" t="s">
        <v>66</v>
      </c>
      <c r="D332" s="68" t="s">
        <v>20</v>
      </c>
      <c r="E332" s="68">
        <v>2</v>
      </c>
      <c r="F332" s="84">
        <v>213214.68</v>
      </c>
      <c r="G332" s="63">
        <f t="shared" si="5"/>
        <v>426429.36</v>
      </c>
    </row>
    <row r="333" spans="1:7" ht="15.6" x14ac:dyDescent="0.3">
      <c r="A333" s="15">
        <v>328</v>
      </c>
      <c r="B333" s="76"/>
      <c r="C333" s="67" t="s">
        <v>35</v>
      </c>
      <c r="D333" s="68" t="s">
        <v>20</v>
      </c>
      <c r="E333" s="68">
        <v>2</v>
      </c>
      <c r="F333" s="84">
        <v>18952.416000000001</v>
      </c>
      <c r="G333" s="63">
        <f t="shared" si="5"/>
        <v>37904.83</v>
      </c>
    </row>
    <row r="334" spans="1:7" ht="15.6" x14ac:dyDescent="0.3">
      <c r="A334" s="15">
        <v>329</v>
      </c>
      <c r="B334" s="76"/>
      <c r="C334" s="11" t="s">
        <v>262</v>
      </c>
      <c r="D334" s="19" t="s">
        <v>20</v>
      </c>
      <c r="E334" s="19">
        <v>2</v>
      </c>
      <c r="F334" s="83">
        <v>127918.99559999999</v>
      </c>
      <c r="G334" s="23">
        <f t="shared" si="5"/>
        <v>255837.99</v>
      </c>
    </row>
    <row r="335" spans="1:7" ht="15.6" x14ac:dyDescent="0.3">
      <c r="A335" s="15">
        <v>330</v>
      </c>
      <c r="B335" s="76"/>
      <c r="C335" s="66" t="s">
        <v>34</v>
      </c>
      <c r="D335" s="68" t="s">
        <v>20</v>
      </c>
      <c r="E335" s="68">
        <v>2</v>
      </c>
      <c r="F335" s="84">
        <v>47381.04</v>
      </c>
      <c r="G335" s="65">
        <f t="shared" si="5"/>
        <v>94762.08</v>
      </c>
    </row>
    <row r="336" spans="1:7" ht="46.8" x14ac:dyDescent="0.3">
      <c r="A336" s="15">
        <v>331</v>
      </c>
      <c r="B336" s="76" t="s">
        <v>150</v>
      </c>
      <c r="C336" s="20" t="s">
        <v>263</v>
      </c>
      <c r="D336" s="19" t="s">
        <v>20</v>
      </c>
      <c r="E336" s="19">
        <v>1</v>
      </c>
      <c r="F336" s="83">
        <v>542578.02480000001</v>
      </c>
      <c r="G336" s="25">
        <f t="shared" si="5"/>
        <v>542578.02</v>
      </c>
    </row>
    <row r="337" spans="1:7" ht="15.6" x14ac:dyDescent="0.3">
      <c r="A337" s="15">
        <v>332</v>
      </c>
      <c r="B337" s="76"/>
      <c r="C337" s="67" t="s">
        <v>66</v>
      </c>
      <c r="D337" s="68" t="s">
        <v>20</v>
      </c>
      <c r="E337" s="68">
        <v>1</v>
      </c>
      <c r="F337" s="84">
        <v>213214.68</v>
      </c>
      <c r="G337" s="63">
        <f t="shared" si="5"/>
        <v>213214.68</v>
      </c>
    </row>
    <row r="338" spans="1:7" ht="15.6" x14ac:dyDescent="0.3">
      <c r="A338" s="15">
        <v>333</v>
      </c>
      <c r="B338" s="76"/>
      <c r="C338" s="67" t="s">
        <v>35</v>
      </c>
      <c r="D338" s="68" t="s">
        <v>20</v>
      </c>
      <c r="E338" s="68">
        <v>1</v>
      </c>
      <c r="F338" s="84">
        <v>18952.416000000001</v>
      </c>
      <c r="G338" s="63">
        <f t="shared" si="5"/>
        <v>18952.419999999998</v>
      </c>
    </row>
    <row r="339" spans="1:7" ht="15.6" x14ac:dyDescent="0.3">
      <c r="A339" s="15">
        <v>334</v>
      </c>
      <c r="B339" s="76"/>
      <c r="C339" s="11" t="s">
        <v>149</v>
      </c>
      <c r="D339" s="19" t="s">
        <v>20</v>
      </c>
      <c r="E339" s="19">
        <v>1</v>
      </c>
      <c r="F339" s="83">
        <v>127918.99559999999</v>
      </c>
      <c r="G339" s="23">
        <f t="shared" si="5"/>
        <v>127919</v>
      </c>
    </row>
    <row r="340" spans="1:7" ht="15.6" x14ac:dyDescent="0.3">
      <c r="A340" s="15">
        <v>335</v>
      </c>
      <c r="B340" s="76"/>
      <c r="C340" s="66" t="s">
        <v>34</v>
      </c>
      <c r="D340" s="68" t="s">
        <v>20</v>
      </c>
      <c r="E340" s="68">
        <v>1</v>
      </c>
      <c r="F340" s="84">
        <v>47381.04</v>
      </c>
      <c r="G340" s="65">
        <f t="shared" si="5"/>
        <v>47381.04</v>
      </c>
    </row>
    <row r="341" spans="1:7" ht="46.8" x14ac:dyDescent="0.3">
      <c r="A341" s="15">
        <v>336</v>
      </c>
      <c r="B341" s="76" t="s">
        <v>152</v>
      </c>
      <c r="C341" s="20" t="s">
        <v>264</v>
      </c>
      <c r="D341" s="19" t="s">
        <v>20</v>
      </c>
      <c r="E341" s="19">
        <v>1</v>
      </c>
      <c r="F341" s="83">
        <v>542134.16159999999</v>
      </c>
      <c r="G341" s="25">
        <f t="shared" si="5"/>
        <v>542134.16</v>
      </c>
    </row>
    <row r="342" spans="1:7" ht="15.6" x14ac:dyDescent="0.3">
      <c r="A342" s="15">
        <v>337</v>
      </c>
      <c r="B342" s="76"/>
      <c r="C342" s="67" t="s">
        <v>66</v>
      </c>
      <c r="D342" s="68" t="s">
        <v>20</v>
      </c>
      <c r="E342" s="68">
        <v>1</v>
      </c>
      <c r="F342" s="84">
        <v>213214.68</v>
      </c>
      <c r="G342" s="63">
        <f t="shared" si="5"/>
        <v>213214.68</v>
      </c>
    </row>
    <row r="343" spans="1:7" ht="15.6" x14ac:dyDescent="0.3">
      <c r="A343" s="15">
        <v>338</v>
      </c>
      <c r="B343" s="76"/>
      <c r="C343" s="67" t="s">
        <v>35</v>
      </c>
      <c r="D343" s="68" t="s">
        <v>20</v>
      </c>
      <c r="E343" s="68">
        <v>1</v>
      </c>
      <c r="F343" s="84">
        <v>18952.416000000001</v>
      </c>
      <c r="G343" s="63">
        <f t="shared" si="5"/>
        <v>18952.419999999998</v>
      </c>
    </row>
    <row r="344" spans="1:7" ht="15.6" x14ac:dyDescent="0.3">
      <c r="A344" s="15">
        <v>339</v>
      </c>
      <c r="B344" s="76"/>
      <c r="C344" s="11" t="s">
        <v>151</v>
      </c>
      <c r="D344" s="19" t="s">
        <v>20</v>
      </c>
      <c r="E344" s="19">
        <v>1</v>
      </c>
      <c r="F344" s="83">
        <v>144375.84900000002</v>
      </c>
      <c r="G344" s="23">
        <f t="shared" si="5"/>
        <v>144375.85</v>
      </c>
    </row>
    <row r="345" spans="1:7" ht="15.6" x14ac:dyDescent="0.3">
      <c r="A345" s="15">
        <v>340</v>
      </c>
      <c r="B345" s="76"/>
      <c r="C345" s="66" t="s">
        <v>34</v>
      </c>
      <c r="D345" s="68" t="s">
        <v>20</v>
      </c>
      <c r="E345" s="68">
        <v>1</v>
      </c>
      <c r="F345" s="84">
        <v>47381.04</v>
      </c>
      <c r="G345" s="65">
        <f t="shared" si="5"/>
        <v>47381.04</v>
      </c>
    </row>
    <row r="346" spans="1:7" ht="46.8" x14ac:dyDescent="0.3">
      <c r="A346" s="15">
        <v>341</v>
      </c>
      <c r="B346" s="76" t="s">
        <v>328</v>
      </c>
      <c r="C346" s="20" t="s">
        <v>265</v>
      </c>
      <c r="D346" s="19" t="s">
        <v>20</v>
      </c>
      <c r="E346" s="19">
        <v>3</v>
      </c>
      <c r="F346" s="83">
        <v>131644.7292</v>
      </c>
      <c r="G346" s="25">
        <f t="shared" si="5"/>
        <v>394934.19</v>
      </c>
    </row>
    <row r="347" spans="1:7" ht="15.6" x14ac:dyDescent="0.3">
      <c r="A347" s="15">
        <v>342</v>
      </c>
      <c r="B347" s="76"/>
      <c r="C347" s="67" t="s">
        <v>66</v>
      </c>
      <c r="D347" s="68" t="s">
        <v>20</v>
      </c>
      <c r="E347" s="68">
        <v>3</v>
      </c>
      <c r="F347" s="84">
        <v>106607.34</v>
      </c>
      <c r="G347" s="63">
        <f t="shared" si="5"/>
        <v>319822.02</v>
      </c>
    </row>
    <row r="348" spans="1:7" ht="15.6" x14ac:dyDescent="0.3">
      <c r="A348" s="15">
        <v>343</v>
      </c>
      <c r="B348" s="76"/>
      <c r="C348" s="67" t="s">
        <v>35</v>
      </c>
      <c r="D348" s="68" t="s">
        <v>20</v>
      </c>
      <c r="E348" s="68">
        <v>3</v>
      </c>
      <c r="F348" s="84">
        <v>18952.416000000001</v>
      </c>
      <c r="G348" s="63">
        <f t="shared" si="5"/>
        <v>56857.25</v>
      </c>
    </row>
    <row r="349" spans="1:7" ht="15.6" x14ac:dyDescent="0.3">
      <c r="A349" s="15">
        <v>344</v>
      </c>
      <c r="B349" s="76"/>
      <c r="C349" s="11" t="s">
        <v>266</v>
      </c>
      <c r="D349" s="19" t="s">
        <v>20</v>
      </c>
      <c r="E349" s="19">
        <v>3</v>
      </c>
      <c r="F349" s="83">
        <v>100500.5796</v>
      </c>
      <c r="G349" s="23">
        <f t="shared" si="5"/>
        <v>301501.74</v>
      </c>
    </row>
    <row r="350" spans="1:7" ht="15.6" x14ac:dyDescent="0.3">
      <c r="A350" s="15">
        <v>345</v>
      </c>
      <c r="B350" s="76"/>
      <c r="C350" s="66" t="s">
        <v>34</v>
      </c>
      <c r="D350" s="68" t="s">
        <v>20</v>
      </c>
      <c r="E350" s="68">
        <v>3</v>
      </c>
      <c r="F350" s="84">
        <v>47381.04</v>
      </c>
      <c r="G350" s="65">
        <f t="shared" si="5"/>
        <v>142143.12</v>
      </c>
    </row>
    <row r="351" spans="1:7" ht="46.8" x14ac:dyDescent="0.3">
      <c r="A351" s="15">
        <v>346</v>
      </c>
      <c r="B351" s="76" t="s">
        <v>154</v>
      </c>
      <c r="C351" s="12" t="s">
        <v>267</v>
      </c>
      <c r="D351" s="19" t="s">
        <v>20</v>
      </c>
      <c r="E351" s="19">
        <v>1</v>
      </c>
      <c r="F351" s="83">
        <v>319114.88459999999</v>
      </c>
      <c r="G351" s="23">
        <f t="shared" si="5"/>
        <v>319114.88</v>
      </c>
    </row>
    <row r="352" spans="1:7" ht="15.6" x14ac:dyDescent="0.3">
      <c r="A352" s="15">
        <v>347</v>
      </c>
      <c r="B352" s="76"/>
      <c r="C352" s="67" t="s">
        <v>66</v>
      </c>
      <c r="D352" s="68" t="s">
        <v>20</v>
      </c>
      <c r="E352" s="68">
        <v>1</v>
      </c>
      <c r="F352" s="84">
        <v>106607.34</v>
      </c>
      <c r="G352" s="65">
        <f t="shared" si="5"/>
        <v>106607.34</v>
      </c>
    </row>
    <row r="353" spans="1:7" ht="15.6" x14ac:dyDescent="0.3">
      <c r="A353" s="15">
        <v>348</v>
      </c>
      <c r="B353" s="76"/>
      <c r="C353" s="67" t="s">
        <v>35</v>
      </c>
      <c r="D353" s="68" t="s">
        <v>20</v>
      </c>
      <c r="E353" s="68">
        <v>1</v>
      </c>
      <c r="F353" s="84">
        <v>18952.416000000001</v>
      </c>
      <c r="G353" s="65">
        <f t="shared" si="5"/>
        <v>18952.419999999998</v>
      </c>
    </row>
    <row r="354" spans="1:7" ht="15.6" x14ac:dyDescent="0.3">
      <c r="A354" s="15">
        <v>349</v>
      </c>
      <c r="B354" s="76"/>
      <c r="C354" s="12" t="s">
        <v>153</v>
      </c>
      <c r="D354" s="19" t="s">
        <v>20</v>
      </c>
      <c r="E354" s="19">
        <v>1</v>
      </c>
      <c r="F354" s="83">
        <v>104697.06359999999</v>
      </c>
      <c r="G354" s="23">
        <f t="shared" si="5"/>
        <v>104697.06</v>
      </c>
    </row>
    <row r="355" spans="1:7" ht="15.6" x14ac:dyDescent="0.3">
      <c r="A355" s="15">
        <v>350</v>
      </c>
      <c r="B355" s="76"/>
      <c r="C355" s="66" t="s">
        <v>34</v>
      </c>
      <c r="D355" s="68" t="s">
        <v>20</v>
      </c>
      <c r="E355" s="68">
        <v>1</v>
      </c>
      <c r="F355" s="84">
        <v>47381.04</v>
      </c>
      <c r="G355" s="65">
        <f t="shared" ref="G355" si="6">ROUND(E355*F355,2)</f>
        <v>47381.04</v>
      </c>
    </row>
    <row r="356" spans="1:7" ht="15.6" x14ac:dyDescent="0.3">
      <c r="A356" s="15">
        <v>351</v>
      </c>
      <c r="B356" s="19"/>
      <c r="C356" s="32" t="s">
        <v>347</v>
      </c>
      <c r="D356" s="41"/>
      <c r="E356" s="41"/>
      <c r="F356" s="34">
        <v>0</v>
      </c>
      <c r="G356" s="35">
        <f>G354+G351+G349+G346+G344+G341+G339+G336+G334+G331+G329+G326+G324+G321+G319+G316+G314+G312+G310+G308+G306+G304+G302+G300+G298+G296+G294+G292+G290+G288+G286+G284+G282+G280+G278+G276+G274+G272+G270+G268+G266+G264+G262+G260+G258+G256+G254+G252+G250</f>
        <v>15616051.899999999</v>
      </c>
    </row>
    <row r="357" spans="1:7" ht="15.6" x14ac:dyDescent="0.3">
      <c r="A357" s="15">
        <v>352</v>
      </c>
      <c r="B357" s="19"/>
      <c r="C357" s="32" t="s">
        <v>348</v>
      </c>
      <c r="D357" s="41"/>
      <c r="E357" s="41"/>
      <c r="F357" s="34">
        <v>0</v>
      </c>
      <c r="G357" s="35">
        <f>G355+G353+G352+G350+G348+G347+G345+G343+G342+G340+G338+G337+G335+G333+G332+G330+G328+G325+G323+G322+G320+G318+G317+G315+G313+G311+G309+G307+G305+G303+G301+G299+G297+G295+G293+G291+G289+G287+G285+G283+G281+G279+G277+G275+G273+G271+G269+G267+G265+G263+G261+G259+G257+G255+G253+G251+G327</f>
        <v>5443993.9099999992</v>
      </c>
    </row>
    <row r="358" spans="1:7" ht="15.6" x14ac:dyDescent="0.3">
      <c r="A358" s="15"/>
      <c r="B358" s="4"/>
      <c r="C358" s="4"/>
      <c r="D358" s="19"/>
      <c r="E358" s="19"/>
      <c r="F358" s="24">
        <v>0</v>
      </c>
      <c r="G358" s="24"/>
    </row>
    <row r="359" spans="1:7" ht="15.6" x14ac:dyDescent="0.3">
      <c r="A359" s="42"/>
      <c r="B359" s="43"/>
      <c r="C359" s="29" t="s">
        <v>7</v>
      </c>
      <c r="D359" s="43"/>
      <c r="E359" s="43"/>
      <c r="F359" s="44">
        <v>0</v>
      </c>
      <c r="G359" s="45"/>
    </row>
    <row r="360" spans="1:7" ht="48" customHeight="1" x14ac:dyDescent="0.3">
      <c r="A360" s="15">
        <v>353</v>
      </c>
      <c r="B360" s="76" t="s">
        <v>268</v>
      </c>
      <c r="C360" s="4" t="s">
        <v>269</v>
      </c>
      <c r="D360" s="19" t="s">
        <v>20</v>
      </c>
      <c r="E360" s="19">
        <v>7</v>
      </c>
      <c r="F360" s="83">
        <v>1493762.6436000001</v>
      </c>
      <c r="G360" s="24">
        <f t="shared" ref="G360:G429" si="7">ROUND(E360*F360,2)</f>
        <v>10456338.51</v>
      </c>
    </row>
    <row r="361" spans="1:7" ht="15.6" x14ac:dyDescent="0.3">
      <c r="A361" s="15">
        <v>354</v>
      </c>
      <c r="B361" s="76"/>
      <c r="C361" s="64" t="s">
        <v>270</v>
      </c>
      <c r="D361" s="68" t="s">
        <v>20</v>
      </c>
      <c r="E361" s="68">
        <v>7</v>
      </c>
      <c r="F361" s="84">
        <v>130297.86</v>
      </c>
      <c r="G361" s="63">
        <f t="shared" si="7"/>
        <v>912085.02</v>
      </c>
    </row>
    <row r="362" spans="1:7" ht="31.2" x14ac:dyDescent="0.3">
      <c r="A362" s="15">
        <v>355</v>
      </c>
      <c r="B362" s="76" t="s">
        <v>271</v>
      </c>
      <c r="C362" s="12" t="s">
        <v>272</v>
      </c>
      <c r="D362" s="19" t="s">
        <v>20</v>
      </c>
      <c r="E362" s="19">
        <v>1</v>
      </c>
      <c r="F362" s="83">
        <v>1493762.6436000001</v>
      </c>
      <c r="G362" s="24">
        <f t="shared" si="7"/>
        <v>1493762.64</v>
      </c>
    </row>
    <row r="363" spans="1:7" ht="15.6" x14ac:dyDescent="0.3">
      <c r="A363" s="15">
        <v>356</v>
      </c>
      <c r="B363" s="76"/>
      <c r="C363" s="64" t="s">
        <v>273</v>
      </c>
      <c r="D363" s="68" t="s">
        <v>20</v>
      </c>
      <c r="E363" s="68">
        <v>1</v>
      </c>
      <c r="F363" s="84">
        <v>130297.86</v>
      </c>
      <c r="G363" s="63">
        <f t="shared" si="7"/>
        <v>130297.86</v>
      </c>
    </row>
    <row r="364" spans="1:7" ht="31.2" x14ac:dyDescent="0.3">
      <c r="A364" s="15">
        <v>357</v>
      </c>
      <c r="B364" s="76" t="s">
        <v>274</v>
      </c>
      <c r="C364" s="12" t="s">
        <v>275</v>
      </c>
      <c r="D364" s="19" t="s">
        <v>20</v>
      </c>
      <c r="E364" s="19">
        <v>1</v>
      </c>
      <c r="F364" s="83">
        <v>1493762.6436000001</v>
      </c>
      <c r="G364" s="24">
        <f t="shared" si="7"/>
        <v>1493762.64</v>
      </c>
    </row>
    <row r="365" spans="1:7" ht="15.6" x14ac:dyDescent="0.3">
      <c r="A365" s="15">
        <v>358</v>
      </c>
      <c r="B365" s="76"/>
      <c r="C365" s="64" t="s">
        <v>273</v>
      </c>
      <c r="D365" s="68" t="s">
        <v>20</v>
      </c>
      <c r="E365" s="68">
        <v>1</v>
      </c>
      <c r="F365" s="84">
        <v>130297.86</v>
      </c>
      <c r="G365" s="63">
        <f t="shared" si="7"/>
        <v>130297.86</v>
      </c>
    </row>
    <row r="366" spans="1:7" ht="31.2" x14ac:dyDescent="0.3">
      <c r="A366" s="16">
        <v>359</v>
      </c>
      <c r="B366" s="76" t="s">
        <v>276</v>
      </c>
      <c r="C366" s="12" t="s">
        <v>277</v>
      </c>
      <c r="D366" s="46" t="s">
        <v>20</v>
      </c>
      <c r="E366" s="46">
        <v>1</v>
      </c>
      <c r="F366" s="83">
        <v>1493762.6436000001</v>
      </c>
      <c r="G366" s="47">
        <f t="shared" si="7"/>
        <v>1493762.64</v>
      </c>
    </row>
    <row r="367" spans="1:7" ht="15.6" x14ac:dyDescent="0.3">
      <c r="A367" s="15">
        <v>360</v>
      </c>
      <c r="B367" s="76"/>
      <c r="C367" s="64" t="s">
        <v>273</v>
      </c>
      <c r="D367" s="68" t="s">
        <v>20</v>
      </c>
      <c r="E367" s="68">
        <v>1</v>
      </c>
      <c r="F367" s="84">
        <v>130297.86</v>
      </c>
      <c r="G367" s="63">
        <f t="shared" si="7"/>
        <v>130297.86</v>
      </c>
    </row>
    <row r="368" spans="1:7" ht="31.2" x14ac:dyDescent="0.3">
      <c r="A368" s="15">
        <v>361</v>
      </c>
      <c r="B368" s="76" t="s">
        <v>278</v>
      </c>
      <c r="C368" s="13" t="s">
        <v>279</v>
      </c>
      <c r="D368" s="19" t="s">
        <v>20</v>
      </c>
      <c r="E368" s="19">
        <v>4</v>
      </c>
      <c r="F368" s="83">
        <v>1493762.6436000001</v>
      </c>
      <c r="G368" s="24">
        <f t="shared" si="7"/>
        <v>5975050.5700000003</v>
      </c>
    </row>
    <row r="369" spans="1:7" ht="36.75" customHeight="1" x14ac:dyDescent="0.3">
      <c r="A369" s="15">
        <v>362</v>
      </c>
      <c r="B369" s="76"/>
      <c r="C369" s="64" t="s">
        <v>270</v>
      </c>
      <c r="D369" s="68" t="s">
        <v>20</v>
      </c>
      <c r="E369" s="68">
        <v>4</v>
      </c>
      <c r="F369" s="84">
        <v>130297.86</v>
      </c>
      <c r="G369" s="63">
        <f t="shared" si="7"/>
        <v>521191.44</v>
      </c>
    </row>
    <row r="370" spans="1:7" ht="31.2" x14ac:dyDescent="0.3">
      <c r="A370" s="15">
        <v>363</v>
      </c>
      <c r="B370" s="76" t="s">
        <v>280</v>
      </c>
      <c r="C370" s="12" t="s">
        <v>281</v>
      </c>
      <c r="D370" s="19" t="s">
        <v>20</v>
      </c>
      <c r="E370" s="19">
        <v>1</v>
      </c>
      <c r="F370" s="83">
        <v>1493762.6436000001</v>
      </c>
      <c r="G370" s="24">
        <f t="shared" si="7"/>
        <v>1493762.64</v>
      </c>
    </row>
    <row r="371" spans="1:7" ht="15.6" x14ac:dyDescent="0.3">
      <c r="A371" s="15">
        <v>364</v>
      </c>
      <c r="B371" s="76"/>
      <c r="C371" s="64" t="s">
        <v>273</v>
      </c>
      <c r="D371" s="68" t="s">
        <v>20</v>
      </c>
      <c r="E371" s="68">
        <v>1</v>
      </c>
      <c r="F371" s="84">
        <v>130297.86</v>
      </c>
      <c r="G371" s="63">
        <f t="shared" si="7"/>
        <v>130297.86</v>
      </c>
    </row>
    <row r="372" spans="1:7" ht="31.2" x14ac:dyDescent="0.3">
      <c r="A372" s="15">
        <v>365</v>
      </c>
      <c r="B372" s="76" t="s">
        <v>282</v>
      </c>
      <c r="C372" s="12" t="s">
        <v>283</v>
      </c>
      <c r="D372" s="19" t="s">
        <v>20</v>
      </c>
      <c r="E372" s="19">
        <v>1</v>
      </c>
      <c r="F372" s="83">
        <v>1493762.6436000001</v>
      </c>
      <c r="G372" s="24">
        <f t="shared" si="7"/>
        <v>1493762.64</v>
      </c>
    </row>
    <row r="373" spans="1:7" ht="15.6" x14ac:dyDescent="0.3">
      <c r="A373" s="15">
        <v>366</v>
      </c>
      <c r="B373" s="76"/>
      <c r="C373" s="64" t="s">
        <v>273</v>
      </c>
      <c r="D373" s="68" t="s">
        <v>20</v>
      </c>
      <c r="E373" s="68">
        <v>1</v>
      </c>
      <c r="F373" s="84">
        <v>130297.86</v>
      </c>
      <c r="G373" s="63">
        <f t="shared" si="7"/>
        <v>130297.86</v>
      </c>
    </row>
    <row r="374" spans="1:7" ht="31.2" x14ac:dyDescent="0.3">
      <c r="A374" s="15">
        <v>367</v>
      </c>
      <c r="B374" s="76" t="s">
        <v>284</v>
      </c>
      <c r="C374" s="12" t="s">
        <v>285</v>
      </c>
      <c r="D374" s="19" t="s">
        <v>20</v>
      </c>
      <c r="E374" s="19">
        <v>1</v>
      </c>
      <c r="F374" s="83">
        <v>1493762.6436000001</v>
      </c>
      <c r="G374" s="24">
        <f t="shared" si="7"/>
        <v>1493762.64</v>
      </c>
    </row>
    <row r="375" spans="1:7" ht="15.6" x14ac:dyDescent="0.3">
      <c r="A375" s="15">
        <v>368</v>
      </c>
      <c r="B375" s="76"/>
      <c r="C375" s="64" t="s">
        <v>273</v>
      </c>
      <c r="D375" s="68" t="s">
        <v>20</v>
      </c>
      <c r="E375" s="68">
        <v>1</v>
      </c>
      <c r="F375" s="84">
        <v>130297.86</v>
      </c>
      <c r="G375" s="63">
        <f t="shared" si="7"/>
        <v>130297.86</v>
      </c>
    </row>
    <row r="376" spans="1:7" ht="31.2" x14ac:dyDescent="0.3">
      <c r="A376" s="15">
        <v>369</v>
      </c>
      <c r="B376" s="76" t="s">
        <v>286</v>
      </c>
      <c r="C376" s="12" t="s">
        <v>287</v>
      </c>
      <c r="D376" s="19" t="s">
        <v>20</v>
      </c>
      <c r="E376" s="19">
        <v>1</v>
      </c>
      <c r="F376" s="83">
        <v>1493762.6436000001</v>
      </c>
      <c r="G376" s="24">
        <f t="shared" si="7"/>
        <v>1493762.64</v>
      </c>
    </row>
    <row r="377" spans="1:7" ht="15.6" x14ac:dyDescent="0.3">
      <c r="A377" s="15">
        <v>370</v>
      </c>
      <c r="B377" s="76"/>
      <c r="C377" s="64" t="s">
        <v>273</v>
      </c>
      <c r="D377" s="68" t="s">
        <v>20</v>
      </c>
      <c r="E377" s="68">
        <v>1</v>
      </c>
      <c r="F377" s="84">
        <v>130297.86</v>
      </c>
      <c r="G377" s="63">
        <f t="shared" si="7"/>
        <v>130297.86</v>
      </c>
    </row>
    <row r="378" spans="1:7" ht="41.25" customHeight="1" x14ac:dyDescent="0.3">
      <c r="A378" s="15">
        <v>371</v>
      </c>
      <c r="B378" s="76" t="s">
        <v>288</v>
      </c>
      <c r="C378" s="12" t="s">
        <v>289</v>
      </c>
      <c r="D378" s="19" t="s">
        <v>20</v>
      </c>
      <c r="E378" s="19">
        <v>1</v>
      </c>
      <c r="F378" s="83">
        <v>1493762.6436000001</v>
      </c>
      <c r="G378" s="24">
        <f t="shared" si="7"/>
        <v>1493762.64</v>
      </c>
    </row>
    <row r="379" spans="1:7" ht="24" customHeight="1" x14ac:dyDescent="0.3">
      <c r="A379" s="15">
        <v>372</v>
      </c>
      <c r="B379" s="76"/>
      <c r="C379" s="64" t="s">
        <v>273</v>
      </c>
      <c r="D379" s="68" t="s">
        <v>20</v>
      </c>
      <c r="E379" s="68">
        <v>1</v>
      </c>
      <c r="F379" s="84">
        <v>130297.86</v>
      </c>
      <c r="G379" s="63">
        <f t="shared" si="7"/>
        <v>130297.86</v>
      </c>
    </row>
    <row r="380" spans="1:7" ht="31.2" x14ac:dyDescent="0.3">
      <c r="A380" s="15">
        <v>373</v>
      </c>
      <c r="B380" s="76" t="s">
        <v>290</v>
      </c>
      <c r="C380" s="12" t="s">
        <v>291</v>
      </c>
      <c r="D380" s="19" t="s">
        <v>20</v>
      </c>
      <c r="E380" s="19">
        <v>5</v>
      </c>
      <c r="F380" s="83">
        <v>1493762.6436000001</v>
      </c>
      <c r="G380" s="24">
        <f t="shared" si="7"/>
        <v>7468813.2199999997</v>
      </c>
    </row>
    <row r="381" spans="1:7" ht="15.6" x14ac:dyDescent="0.3">
      <c r="A381" s="15">
        <v>374</v>
      </c>
      <c r="B381" s="76"/>
      <c r="C381" s="64" t="s">
        <v>270</v>
      </c>
      <c r="D381" s="68" t="s">
        <v>20</v>
      </c>
      <c r="E381" s="68">
        <v>5</v>
      </c>
      <c r="F381" s="84">
        <v>130297.86</v>
      </c>
      <c r="G381" s="63">
        <f t="shared" si="7"/>
        <v>651489.30000000005</v>
      </c>
    </row>
    <row r="382" spans="1:7" ht="31.2" x14ac:dyDescent="0.3">
      <c r="A382" s="15">
        <v>375</v>
      </c>
      <c r="B382" s="76" t="s">
        <v>292</v>
      </c>
      <c r="C382" s="12" t="s">
        <v>293</v>
      </c>
      <c r="D382" s="19" t="s">
        <v>20</v>
      </c>
      <c r="E382" s="19">
        <v>3</v>
      </c>
      <c r="F382" s="83">
        <v>1493762.6436000001</v>
      </c>
      <c r="G382" s="24">
        <f t="shared" si="7"/>
        <v>4481287.93</v>
      </c>
    </row>
    <row r="383" spans="1:7" ht="15.6" x14ac:dyDescent="0.3">
      <c r="A383" s="15">
        <v>376</v>
      </c>
      <c r="B383" s="76"/>
      <c r="C383" s="64" t="s">
        <v>270</v>
      </c>
      <c r="D383" s="68" t="s">
        <v>20</v>
      </c>
      <c r="E383" s="68">
        <v>3</v>
      </c>
      <c r="F383" s="84">
        <v>130297.86</v>
      </c>
      <c r="G383" s="63">
        <f t="shared" si="7"/>
        <v>390893.58</v>
      </c>
    </row>
    <row r="384" spans="1:7" ht="31.2" x14ac:dyDescent="0.3">
      <c r="A384" s="15">
        <v>377</v>
      </c>
      <c r="B384" s="76" t="s">
        <v>295</v>
      </c>
      <c r="C384" s="12" t="s">
        <v>294</v>
      </c>
      <c r="D384" s="19" t="s">
        <v>20</v>
      </c>
      <c r="E384" s="19">
        <v>1</v>
      </c>
      <c r="F384" s="83">
        <v>1493762.6436000001</v>
      </c>
      <c r="G384" s="24">
        <f t="shared" si="7"/>
        <v>1493762.64</v>
      </c>
    </row>
    <row r="385" spans="1:7" ht="15.6" x14ac:dyDescent="0.3">
      <c r="A385" s="15">
        <v>378</v>
      </c>
      <c r="B385" s="76"/>
      <c r="C385" s="64" t="s">
        <v>270</v>
      </c>
      <c r="D385" s="68" t="s">
        <v>20</v>
      </c>
      <c r="E385" s="68">
        <v>1</v>
      </c>
      <c r="F385" s="84">
        <v>130297.86</v>
      </c>
      <c r="G385" s="63">
        <f t="shared" si="7"/>
        <v>130297.86</v>
      </c>
    </row>
    <row r="386" spans="1:7" ht="15.6" x14ac:dyDescent="0.3">
      <c r="A386" s="15"/>
      <c r="B386" s="76" t="s">
        <v>155</v>
      </c>
      <c r="C386" s="13" t="s">
        <v>296</v>
      </c>
      <c r="D386" s="19" t="s">
        <v>306</v>
      </c>
      <c r="E386" s="19">
        <v>1</v>
      </c>
      <c r="F386" s="83">
        <v>0</v>
      </c>
      <c r="G386" s="24"/>
    </row>
    <row r="387" spans="1:7" ht="15.6" x14ac:dyDescent="0.3">
      <c r="A387" s="15">
        <v>379</v>
      </c>
      <c r="B387" s="76"/>
      <c r="C387" s="14" t="s">
        <v>297</v>
      </c>
      <c r="D387" s="15" t="s">
        <v>20</v>
      </c>
      <c r="E387" s="15">
        <v>1</v>
      </c>
      <c r="F387" s="84">
        <v>122182.2402</v>
      </c>
      <c r="G387" s="26">
        <f t="shared" si="7"/>
        <v>122182.24</v>
      </c>
    </row>
    <row r="388" spans="1:7" ht="15.6" x14ac:dyDescent="0.3">
      <c r="A388" s="15">
        <v>380</v>
      </c>
      <c r="B388" s="76"/>
      <c r="C388" s="14" t="s">
        <v>352</v>
      </c>
      <c r="D388" s="15" t="s">
        <v>239</v>
      </c>
      <c r="E388" s="15">
        <v>200</v>
      </c>
      <c r="F388" s="83">
        <v>610.52099999999996</v>
      </c>
      <c r="G388" s="26">
        <f t="shared" si="7"/>
        <v>122104.2</v>
      </c>
    </row>
    <row r="389" spans="1:7" ht="15.6" x14ac:dyDescent="0.3">
      <c r="A389" s="15">
        <v>381</v>
      </c>
      <c r="B389" s="76"/>
      <c r="C389" s="69" t="s">
        <v>298</v>
      </c>
      <c r="D389" s="70" t="s">
        <v>20</v>
      </c>
      <c r="E389" s="70">
        <v>1</v>
      </c>
      <c r="F389" s="84">
        <v>307976.76</v>
      </c>
      <c r="G389" s="65">
        <f t="shared" si="7"/>
        <v>307976.76</v>
      </c>
    </row>
    <row r="390" spans="1:7" ht="15.6" x14ac:dyDescent="0.3">
      <c r="A390" s="15">
        <v>382</v>
      </c>
      <c r="B390" s="76"/>
      <c r="C390" s="14" t="s">
        <v>299</v>
      </c>
      <c r="D390" s="15" t="s">
        <v>20</v>
      </c>
      <c r="E390" s="15">
        <v>1</v>
      </c>
      <c r="F390" s="83">
        <v>7775.9495999999999</v>
      </c>
      <c r="G390" s="26">
        <f t="shared" si="7"/>
        <v>7775.95</v>
      </c>
    </row>
    <row r="391" spans="1:7" ht="15.6" x14ac:dyDescent="0.3">
      <c r="A391" s="15">
        <v>383</v>
      </c>
      <c r="B391" s="76"/>
      <c r="C391" s="13" t="s">
        <v>300</v>
      </c>
      <c r="D391" s="15" t="s">
        <v>20</v>
      </c>
      <c r="E391" s="15">
        <v>5</v>
      </c>
      <c r="F391" s="83">
        <v>32522.3838</v>
      </c>
      <c r="G391" s="26">
        <f t="shared" si="7"/>
        <v>162611.92000000001</v>
      </c>
    </row>
    <row r="392" spans="1:7" ht="15.6" x14ac:dyDescent="0.3">
      <c r="A392" s="15">
        <v>384</v>
      </c>
      <c r="B392" s="76"/>
      <c r="C392" s="14" t="s">
        <v>301</v>
      </c>
      <c r="D392" s="15" t="s">
        <v>20</v>
      </c>
      <c r="E392" s="15">
        <v>9</v>
      </c>
      <c r="F392" s="83">
        <v>63174.332400000007</v>
      </c>
      <c r="G392" s="26">
        <f t="shared" si="7"/>
        <v>568568.99</v>
      </c>
    </row>
    <row r="393" spans="1:7" ht="15.6" x14ac:dyDescent="0.3">
      <c r="A393" s="15">
        <v>385</v>
      </c>
      <c r="B393" s="76"/>
      <c r="C393" s="13" t="s">
        <v>302</v>
      </c>
      <c r="D393" s="15" t="s">
        <v>20</v>
      </c>
      <c r="E393" s="15">
        <v>3</v>
      </c>
      <c r="F393" s="83">
        <v>20206.965</v>
      </c>
      <c r="G393" s="26">
        <f t="shared" si="7"/>
        <v>60620.9</v>
      </c>
    </row>
    <row r="394" spans="1:7" ht="15.6" x14ac:dyDescent="0.3">
      <c r="A394" s="15">
        <v>386</v>
      </c>
      <c r="B394" s="76"/>
      <c r="C394" s="14" t="s">
        <v>303</v>
      </c>
      <c r="D394" s="15" t="s">
        <v>20</v>
      </c>
      <c r="E394" s="15">
        <v>1</v>
      </c>
      <c r="F394" s="83">
        <v>7917.8112000000001</v>
      </c>
      <c r="G394" s="26">
        <f t="shared" si="7"/>
        <v>7917.81</v>
      </c>
    </row>
    <row r="395" spans="1:7" ht="15.6" x14ac:dyDescent="0.3">
      <c r="A395" s="15">
        <v>387</v>
      </c>
      <c r="B395" s="76"/>
      <c r="C395" s="14" t="s">
        <v>352</v>
      </c>
      <c r="D395" s="15" t="s">
        <v>239</v>
      </c>
      <c r="E395" s="15">
        <v>285</v>
      </c>
      <c r="F395" s="83">
        <v>610.52099999999996</v>
      </c>
      <c r="G395" s="26">
        <f t="shared" si="7"/>
        <v>173998.49</v>
      </c>
    </row>
    <row r="396" spans="1:7" ht="15.6" x14ac:dyDescent="0.3">
      <c r="A396" s="15">
        <v>388</v>
      </c>
      <c r="B396" s="76"/>
      <c r="C396" s="69" t="s">
        <v>304</v>
      </c>
      <c r="D396" s="70" t="s">
        <v>20</v>
      </c>
      <c r="E396" s="70">
        <f>SUM(E390:E394)</f>
        <v>19</v>
      </c>
      <c r="F396" s="84">
        <v>130297.86</v>
      </c>
      <c r="G396" s="65">
        <f t="shared" si="7"/>
        <v>2475659.34</v>
      </c>
    </row>
    <row r="397" spans="1:7" ht="93.6" x14ac:dyDescent="0.3">
      <c r="A397" s="15">
        <v>389</v>
      </c>
      <c r="B397" s="76" t="s">
        <v>156</v>
      </c>
      <c r="C397" s="13" t="s">
        <v>307</v>
      </c>
      <c r="D397" s="15" t="s">
        <v>306</v>
      </c>
      <c r="E397" s="15">
        <v>1</v>
      </c>
      <c r="F397" s="83">
        <v>444899.90760000004</v>
      </c>
      <c r="G397" s="26">
        <f t="shared" si="7"/>
        <v>444899.91</v>
      </c>
    </row>
    <row r="398" spans="1:7" ht="15.6" x14ac:dyDescent="0.3">
      <c r="A398" s="15">
        <v>390</v>
      </c>
      <c r="B398" s="76"/>
      <c r="C398" s="13" t="s">
        <v>352</v>
      </c>
      <c r="D398" s="15" t="s">
        <v>239</v>
      </c>
      <c r="E398" s="15">
        <v>250</v>
      </c>
      <c r="F398" s="83">
        <v>610.52099999999996</v>
      </c>
      <c r="G398" s="26">
        <f t="shared" si="7"/>
        <v>152630.25</v>
      </c>
    </row>
    <row r="399" spans="1:7" ht="15.6" x14ac:dyDescent="0.3">
      <c r="A399" s="15">
        <v>391</v>
      </c>
      <c r="B399" s="76"/>
      <c r="C399" s="69" t="s">
        <v>308</v>
      </c>
      <c r="D399" s="70" t="s">
        <v>306</v>
      </c>
      <c r="E399" s="70">
        <v>1</v>
      </c>
      <c r="F399" s="84">
        <v>165833.64000000001</v>
      </c>
      <c r="G399" s="65">
        <f t="shared" si="7"/>
        <v>165833.64000000001</v>
      </c>
    </row>
    <row r="400" spans="1:7" ht="93.6" x14ac:dyDescent="0.3">
      <c r="A400" s="15">
        <v>392</v>
      </c>
      <c r="B400" s="76" t="s">
        <v>157</v>
      </c>
      <c r="C400" s="13" t="s">
        <v>309</v>
      </c>
      <c r="D400" s="15" t="s">
        <v>306</v>
      </c>
      <c r="E400" s="15">
        <v>1</v>
      </c>
      <c r="F400" s="83">
        <v>444899.90760000004</v>
      </c>
      <c r="G400" s="26">
        <f t="shared" si="7"/>
        <v>444899.91</v>
      </c>
    </row>
    <row r="401" spans="1:7" ht="15.6" x14ac:dyDescent="0.3">
      <c r="A401" s="15">
        <v>393</v>
      </c>
      <c r="B401" s="76"/>
      <c r="C401" s="13" t="s">
        <v>352</v>
      </c>
      <c r="D401" s="15" t="s">
        <v>239</v>
      </c>
      <c r="E401" s="15">
        <v>250</v>
      </c>
      <c r="F401" s="83">
        <v>610.52099999999996</v>
      </c>
      <c r="G401" s="26">
        <f t="shared" si="7"/>
        <v>152630.25</v>
      </c>
    </row>
    <row r="402" spans="1:7" ht="15.6" x14ac:dyDescent="0.3">
      <c r="A402" s="15">
        <v>394</v>
      </c>
      <c r="B402" s="76"/>
      <c r="C402" s="69" t="s">
        <v>308</v>
      </c>
      <c r="D402" s="70" t="s">
        <v>306</v>
      </c>
      <c r="E402" s="70">
        <v>1</v>
      </c>
      <c r="F402" s="84">
        <v>165833.64000000001</v>
      </c>
      <c r="G402" s="65">
        <f t="shared" ref="G402" si="8">ROUND(E402*F402,2)</f>
        <v>165833.64000000001</v>
      </c>
    </row>
    <row r="403" spans="1:7" ht="15.6" x14ac:dyDescent="0.3">
      <c r="A403" s="15"/>
      <c r="B403" s="76">
        <v>1</v>
      </c>
      <c r="C403" s="9" t="s">
        <v>310</v>
      </c>
      <c r="D403" s="15"/>
      <c r="E403" s="15"/>
      <c r="F403" s="83">
        <v>0</v>
      </c>
      <c r="G403" s="26"/>
    </row>
    <row r="404" spans="1:7" ht="15.6" x14ac:dyDescent="0.3">
      <c r="A404" s="15">
        <v>395</v>
      </c>
      <c r="B404" s="76"/>
      <c r="C404" s="13" t="s">
        <v>312</v>
      </c>
      <c r="D404" s="15" t="s">
        <v>238</v>
      </c>
      <c r="E404" s="15">
        <v>40</v>
      </c>
      <c r="F404" s="83">
        <v>181.62120000000002</v>
      </c>
      <c r="G404" s="26">
        <f t="shared" si="7"/>
        <v>7264.85</v>
      </c>
    </row>
    <row r="405" spans="1:7" ht="15.6" x14ac:dyDescent="0.3">
      <c r="A405" s="15">
        <v>396</v>
      </c>
      <c r="B405" s="76"/>
      <c r="C405" s="13" t="s">
        <v>313</v>
      </c>
      <c r="D405" s="15" t="s">
        <v>238</v>
      </c>
      <c r="E405" s="15">
        <v>135</v>
      </c>
      <c r="F405" s="83">
        <v>218.60640000000001</v>
      </c>
      <c r="G405" s="26">
        <f t="shared" si="7"/>
        <v>29511.86</v>
      </c>
    </row>
    <row r="406" spans="1:7" ht="15.6" x14ac:dyDescent="0.3">
      <c r="A406" s="15">
        <v>397</v>
      </c>
      <c r="B406" s="76"/>
      <c r="C406" s="13" t="s">
        <v>314</v>
      </c>
      <c r="D406" s="15" t="s">
        <v>238</v>
      </c>
      <c r="E406" s="15">
        <v>155</v>
      </c>
      <c r="F406" s="83">
        <v>316.49580000000003</v>
      </c>
      <c r="G406" s="26">
        <f t="shared" si="7"/>
        <v>49056.85</v>
      </c>
    </row>
    <row r="407" spans="1:7" ht="15.6" x14ac:dyDescent="0.3">
      <c r="A407" s="15">
        <v>398</v>
      </c>
      <c r="B407" s="76"/>
      <c r="C407" s="13" t="s">
        <v>315</v>
      </c>
      <c r="D407" s="15" t="s">
        <v>238</v>
      </c>
      <c r="E407" s="15">
        <v>163</v>
      </c>
      <c r="F407" s="83">
        <v>360.13139999999999</v>
      </c>
      <c r="G407" s="26">
        <f t="shared" si="7"/>
        <v>58701.42</v>
      </c>
    </row>
    <row r="408" spans="1:7" ht="15.6" x14ac:dyDescent="0.3">
      <c r="A408" s="15">
        <v>399</v>
      </c>
      <c r="B408" s="76"/>
      <c r="C408" s="13" t="s">
        <v>316</v>
      </c>
      <c r="D408" s="15" t="s">
        <v>238</v>
      </c>
      <c r="E408" s="15">
        <v>10</v>
      </c>
      <c r="F408" s="83">
        <v>620.78219999999999</v>
      </c>
      <c r="G408" s="26">
        <f t="shared" si="7"/>
        <v>6207.82</v>
      </c>
    </row>
    <row r="409" spans="1:7" ht="15.6" x14ac:dyDescent="0.3">
      <c r="A409" s="15">
        <v>400</v>
      </c>
      <c r="B409" s="76"/>
      <c r="C409" s="13" t="s">
        <v>317</v>
      </c>
      <c r="D409" s="15" t="s">
        <v>238</v>
      </c>
      <c r="E409" s="15">
        <v>140</v>
      </c>
      <c r="F409" s="83">
        <v>827.87279999999998</v>
      </c>
      <c r="G409" s="26">
        <f t="shared" si="7"/>
        <v>115902.19</v>
      </c>
    </row>
    <row r="410" spans="1:7" ht="15.6" x14ac:dyDescent="0.3">
      <c r="A410" s="15">
        <v>401</v>
      </c>
      <c r="B410" s="76"/>
      <c r="C410" s="13" t="s">
        <v>318</v>
      </c>
      <c r="D410" s="15" t="s">
        <v>238</v>
      </c>
      <c r="E410" s="15">
        <v>555</v>
      </c>
      <c r="F410" s="83">
        <v>945.85619999999994</v>
      </c>
      <c r="G410" s="26">
        <f t="shared" si="7"/>
        <v>524950.18999999994</v>
      </c>
    </row>
    <row r="411" spans="1:7" ht="15.6" x14ac:dyDescent="0.3">
      <c r="A411" s="15">
        <v>402</v>
      </c>
      <c r="B411" s="76"/>
      <c r="C411" s="14" t="s">
        <v>319</v>
      </c>
      <c r="D411" s="16" t="s">
        <v>238</v>
      </c>
      <c r="E411" s="16">
        <v>730</v>
      </c>
      <c r="F411" s="83">
        <v>1511.232</v>
      </c>
      <c r="G411" s="27">
        <f t="shared" si="7"/>
        <v>1103199.3600000001</v>
      </c>
    </row>
    <row r="412" spans="1:7" ht="15.6" x14ac:dyDescent="0.3">
      <c r="A412" s="15">
        <v>403</v>
      </c>
      <c r="B412" s="76"/>
      <c r="C412" s="13" t="s">
        <v>320</v>
      </c>
      <c r="D412" s="15" t="s">
        <v>238</v>
      </c>
      <c r="E412" s="15">
        <v>3</v>
      </c>
      <c r="F412" s="83">
        <v>1357.1100000000001</v>
      </c>
      <c r="G412" s="26">
        <f t="shared" si="7"/>
        <v>4071.33</v>
      </c>
    </row>
    <row r="413" spans="1:7" ht="15.6" x14ac:dyDescent="0.3">
      <c r="A413" s="15">
        <v>404</v>
      </c>
      <c r="B413" s="76"/>
      <c r="C413" s="13" t="s">
        <v>321</v>
      </c>
      <c r="D413" s="15" t="s">
        <v>238</v>
      </c>
      <c r="E413" s="15">
        <v>15</v>
      </c>
      <c r="F413" s="83">
        <v>1662.2940000000001</v>
      </c>
      <c r="G413" s="26">
        <f t="shared" si="7"/>
        <v>24934.41</v>
      </c>
    </row>
    <row r="414" spans="1:7" ht="15.6" x14ac:dyDescent="0.3">
      <c r="A414" s="15">
        <v>405</v>
      </c>
      <c r="B414" s="76"/>
      <c r="C414" s="13" t="s">
        <v>311</v>
      </c>
      <c r="D414" s="15" t="s">
        <v>238</v>
      </c>
      <c r="E414" s="15">
        <v>210</v>
      </c>
      <c r="F414" s="83">
        <v>1846.2611999999999</v>
      </c>
      <c r="G414" s="26">
        <f t="shared" si="7"/>
        <v>387714.85</v>
      </c>
    </row>
    <row r="415" spans="1:7" ht="15.6" x14ac:dyDescent="0.3">
      <c r="A415" s="15">
        <v>406</v>
      </c>
      <c r="B415" s="76"/>
      <c r="C415" s="14" t="s">
        <v>305</v>
      </c>
      <c r="D415" s="15" t="s">
        <v>20</v>
      </c>
      <c r="E415" s="15">
        <v>9</v>
      </c>
      <c r="F415" s="83">
        <v>4773.0695999999998</v>
      </c>
      <c r="G415" s="26">
        <f t="shared" ref="G415:G416" si="9">ROUND(E415*F415,2)</f>
        <v>42957.63</v>
      </c>
    </row>
    <row r="416" spans="1:7" ht="15.6" x14ac:dyDescent="0.3">
      <c r="A416" s="15">
        <v>407</v>
      </c>
      <c r="B416" s="76"/>
      <c r="C416" s="13" t="s">
        <v>352</v>
      </c>
      <c r="D416" s="15" t="s">
        <v>239</v>
      </c>
      <c r="E416" s="15">
        <f>1500-E401-E398-E395-E388</f>
        <v>515</v>
      </c>
      <c r="F416" s="83">
        <v>610.52099999999996</v>
      </c>
      <c r="G416" s="26">
        <f t="shared" si="9"/>
        <v>314418.32</v>
      </c>
    </row>
    <row r="417" spans="1:7" ht="15.6" x14ac:dyDescent="0.3">
      <c r="A417" s="15">
        <v>408</v>
      </c>
      <c r="B417" s="76"/>
      <c r="C417" s="64" t="s">
        <v>351</v>
      </c>
      <c r="D417" s="68" t="s">
        <v>238</v>
      </c>
      <c r="E417" s="68">
        <f>SUM(E404:E414)</f>
        <v>2156</v>
      </c>
      <c r="F417" s="84">
        <v>2961.3150000000001</v>
      </c>
      <c r="G417" s="63">
        <f t="shared" si="7"/>
        <v>6384595.1399999997</v>
      </c>
    </row>
    <row r="418" spans="1:7" ht="15.6" x14ac:dyDescent="0.3">
      <c r="A418" s="15"/>
      <c r="B418" s="76">
        <v>2</v>
      </c>
      <c r="C418" s="13" t="s">
        <v>324</v>
      </c>
      <c r="D418" s="19"/>
      <c r="E418" s="19"/>
      <c r="F418" s="83">
        <v>0</v>
      </c>
      <c r="G418" s="24"/>
    </row>
    <row r="419" spans="1:7" ht="15.6" x14ac:dyDescent="0.3">
      <c r="A419" s="15">
        <v>409</v>
      </c>
      <c r="B419" s="76"/>
      <c r="C419" s="13" t="s">
        <v>312</v>
      </c>
      <c r="D419" s="19" t="s">
        <v>238</v>
      </c>
      <c r="E419" s="19">
        <v>40</v>
      </c>
      <c r="F419" s="83">
        <v>66.789600000000007</v>
      </c>
      <c r="G419" s="24">
        <f t="shared" si="7"/>
        <v>2671.58</v>
      </c>
    </row>
    <row r="420" spans="1:7" ht="15.6" x14ac:dyDescent="0.3">
      <c r="A420" s="15">
        <v>410</v>
      </c>
      <c r="B420" s="76"/>
      <c r="C420" s="13" t="s">
        <v>313</v>
      </c>
      <c r="D420" s="19" t="s">
        <v>238</v>
      </c>
      <c r="E420" s="19">
        <v>135</v>
      </c>
      <c r="F420" s="83">
        <v>70.02300000000001</v>
      </c>
      <c r="G420" s="24">
        <f t="shared" si="7"/>
        <v>9453.11</v>
      </c>
    </row>
    <row r="421" spans="1:7" ht="15.6" x14ac:dyDescent="0.3">
      <c r="A421" s="15">
        <v>411</v>
      </c>
      <c r="B421" s="76"/>
      <c r="C421" s="13" t="s">
        <v>314</v>
      </c>
      <c r="D421" s="19" t="s">
        <v>238</v>
      </c>
      <c r="E421" s="19">
        <v>155</v>
      </c>
      <c r="F421" s="83">
        <v>74.735399999999998</v>
      </c>
      <c r="G421" s="24">
        <f t="shared" si="7"/>
        <v>11583.99</v>
      </c>
    </row>
    <row r="422" spans="1:7" ht="15.6" x14ac:dyDescent="0.3">
      <c r="A422" s="15">
        <v>412</v>
      </c>
      <c r="B422" s="76"/>
      <c r="C422" s="13" t="s">
        <v>315</v>
      </c>
      <c r="D422" s="19" t="s">
        <v>238</v>
      </c>
      <c r="E422" s="19">
        <v>163</v>
      </c>
      <c r="F422" s="83">
        <v>77.897400000000005</v>
      </c>
      <c r="G422" s="24">
        <f t="shared" si="7"/>
        <v>12697.28</v>
      </c>
    </row>
    <row r="423" spans="1:7" ht="15.6" x14ac:dyDescent="0.3">
      <c r="A423" s="15">
        <v>413</v>
      </c>
      <c r="B423" s="76"/>
      <c r="C423" s="13" t="s">
        <v>357</v>
      </c>
      <c r="D423" s="19" t="s">
        <v>239</v>
      </c>
      <c r="E423" s="19">
        <v>1.5</v>
      </c>
      <c r="F423" s="83">
        <v>342.03659999999996</v>
      </c>
      <c r="G423" s="24">
        <f t="shared" si="7"/>
        <v>513.04999999999995</v>
      </c>
    </row>
    <row r="424" spans="1:7" ht="15.6" x14ac:dyDescent="0.3">
      <c r="A424" s="15">
        <v>414</v>
      </c>
      <c r="B424" s="76"/>
      <c r="C424" s="13" t="s">
        <v>358</v>
      </c>
      <c r="D424" s="19" t="s">
        <v>238</v>
      </c>
      <c r="E424" s="19">
        <v>150</v>
      </c>
      <c r="F424" s="83">
        <v>18.390600000000003</v>
      </c>
      <c r="G424" s="24">
        <f t="shared" si="7"/>
        <v>2758.59</v>
      </c>
    </row>
    <row r="425" spans="1:7" ht="15.6" x14ac:dyDescent="0.3">
      <c r="A425" s="15">
        <v>415</v>
      </c>
      <c r="B425" s="76"/>
      <c r="C425" s="64" t="s">
        <v>322</v>
      </c>
      <c r="D425" s="68" t="s">
        <v>238</v>
      </c>
      <c r="E425" s="68">
        <f>SUM(E419:E422)</f>
        <v>493</v>
      </c>
      <c r="F425" s="84">
        <v>355.3578</v>
      </c>
      <c r="G425" s="63">
        <f t="shared" si="7"/>
        <v>175191.4</v>
      </c>
    </row>
    <row r="426" spans="1:7" ht="15.6" x14ac:dyDescent="0.3">
      <c r="A426" s="15"/>
      <c r="B426" s="76"/>
      <c r="C426" s="13" t="s">
        <v>323</v>
      </c>
      <c r="D426" s="19"/>
      <c r="E426" s="19"/>
      <c r="F426" s="83">
        <v>0</v>
      </c>
      <c r="G426" s="24"/>
    </row>
    <row r="427" spans="1:7" ht="15.6" x14ac:dyDescent="0.3">
      <c r="A427" s="15">
        <v>416</v>
      </c>
      <c r="B427" s="76"/>
      <c r="C427" s="13" t="s">
        <v>316</v>
      </c>
      <c r="D427" s="19" t="s">
        <v>238</v>
      </c>
      <c r="E427" s="19">
        <v>10</v>
      </c>
      <c r="F427" s="83">
        <v>165.13800000000001</v>
      </c>
      <c r="G427" s="24">
        <f t="shared" si="7"/>
        <v>1651.38</v>
      </c>
    </row>
    <row r="428" spans="1:7" ht="15.6" x14ac:dyDescent="0.3">
      <c r="A428" s="15">
        <v>417</v>
      </c>
      <c r="B428" s="76"/>
      <c r="C428" s="13" t="s">
        <v>317</v>
      </c>
      <c r="D428" s="19" t="s">
        <v>238</v>
      </c>
      <c r="E428" s="19">
        <v>140</v>
      </c>
      <c r="F428" s="83">
        <v>177.01079999999999</v>
      </c>
      <c r="G428" s="24">
        <f t="shared" si="7"/>
        <v>24781.51</v>
      </c>
    </row>
    <row r="429" spans="1:7" ht="15.6" x14ac:dyDescent="0.3">
      <c r="A429" s="15">
        <v>418</v>
      </c>
      <c r="B429" s="76"/>
      <c r="C429" s="13" t="s">
        <v>318</v>
      </c>
      <c r="D429" s="19" t="s">
        <v>238</v>
      </c>
      <c r="E429" s="19">
        <v>555</v>
      </c>
      <c r="F429" s="83">
        <v>213.6798</v>
      </c>
      <c r="G429" s="24">
        <f t="shared" si="7"/>
        <v>118592.29</v>
      </c>
    </row>
    <row r="430" spans="1:7" ht="15.6" x14ac:dyDescent="0.3">
      <c r="A430" s="15">
        <v>419</v>
      </c>
      <c r="B430" s="76"/>
      <c r="C430" s="13" t="s">
        <v>319</v>
      </c>
      <c r="D430" s="19" t="s">
        <v>238</v>
      </c>
      <c r="E430" s="19">
        <v>730</v>
      </c>
      <c r="F430" s="83">
        <v>250.30800000000002</v>
      </c>
      <c r="G430" s="24">
        <f t="shared" ref="G430:G438" si="10">ROUND(E430*F430,2)</f>
        <v>182724.84</v>
      </c>
    </row>
    <row r="431" spans="1:7" ht="15.6" x14ac:dyDescent="0.3">
      <c r="A431" s="15">
        <v>420</v>
      </c>
      <c r="B431" s="76"/>
      <c r="C431" s="13" t="s">
        <v>320</v>
      </c>
      <c r="D431" s="19" t="s">
        <v>238</v>
      </c>
      <c r="E431" s="19">
        <v>3</v>
      </c>
      <c r="F431" s="83">
        <v>235.67100000000002</v>
      </c>
      <c r="G431" s="24">
        <f t="shared" si="10"/>
        <v>707.01</v>
      </c>
    </row>
    <row r="432" spans="1:7" ht="15.6" x14ac:dyDescent="0.3">
      <c r="A432" s="15">
        <v>421</v>
      </c>
      <c r="B432" s="76"/>
      <c r="C432" s="13" t="s">
        <v>321</v>
      </c>
      <c r="D432" s="19" t="s">
        <v>238</v>
      </c>
      <c r="E432" s="19">
        <v>15</v>
      </c>
      <c r="F432" s="83">
        <v>279.87779999999998</v>
      </c>
      <c r="G432" s="24">
        <f t="shared" si="10"/>
        <v>4198.17</v>
      </c>
    </row>
    <row r="433" spans="1:7" ht="15.6" x14ac:dyDescent="0.3">
      <c r="A433" s="15">
        <v>422</v>
      </c>
      <c r="B433" s="76"/>
      <c r="C433" s="13" t="s">
        <v>311</v>
      </c>
      <c r="D433" s="19" t="s">
        <v>238</v>
      </c>
      <c r="E433" s="19">
        <v>210</v>
      </c>
      <c r="F433" s="83">
        <v>302.24639999999999</v>
      </c>
      <c r="G433" s="24">
        <f t="shared" si="10"/>
        <v>63471.74</v>
      </c>
    </row>
    <row r="434" spans="1:7" ht="15.6" x14ac:dyDescent="0.3">
      <c r="A434" s="15">
        <v>423</v>
      </c>
      <c r="B434" s="76"/>
      <c r="C434" s="13" t="s">
        <v>357</v>
      </c>
      <c r="D434" s="19" t="s">
        <v>239</v>
      </c>
      <c r="E434" s="19">
        <v>3.5</v>
      </c>
      <c r="F434" s="83">
        <v>342.03659999999996</v>
      </c>
      <c r="G434" s="24">
        <f t="shared" si="10"/>
        <v>1197.1300000000001</v>
      </c>
    </row>
    <row r="435" spans="1:7" ht="15.6" x14ac:dyDescent="0.3">
      <c r="A435" s="15">
        <v>424</v>
      </c>
      <c r="B435" s="76"/>
      <c r="C435" s="13" t="s">
        <v>358</v>
      </c>
      <c r="D435" s="19" t="s">
        <v>238</v>
      </c>
      <c r="E435" s="19">
        <v>300</v>
      </c>
      <c r="F435" s="83">
        <v>18.390600000000003</v>
      </c>
      <c r="G435" s="24">
        <f t="shared" si="10"/>
        <v>5517.18</v>
      </c>
    </row>
    <row r="436" spans="1:7" ht="15.6" x14ac:dyDescent="0.3">
      <c r="A436" s="15">
        <v>425</v>
      </c>
      <c r="B436" s="76"/>
      <c r="C436" s="64" t="s">
        <v>322</v>
      </c>
      <c r="D436" s="68" t="s">
        <v>238</v>
      </c>
      <c r="E436" s="68">
        <f>SUM(E427:E433)</f>
        <v>1663</v>
      </c>
      <c r="F436" s="84">
        <v>355.3578</v>
      </c>
      <c r="G436" s="63">
        <f t="shared" si="10"/>
        <v>590960.02</v>
      </c>
    </row>
    <row r="437" spans="1:7" ht="15.6" x14ac:dyDescent="0.3">
      <c r="A437" s="15">
        <v>426</v>
      </c>
      <c r="B437" s="76">
        <v>3</v>
      </c>
      <c r="C437" s="13" t="s">
        <v>325</v>
      </c>
      <c r="D437" s="19" t="s">
        <v>239</v>
      </c>
      <c r="E437" s="19">
        <v>1950</v>
      </c>
      <c r="F437" s="83">
        <v>1136.4432000000002</v>
      </c>
      <c r="G437" s="24">
        <f t="shared" si="10"/>
        <v>2216064.2400000002</v>
      </c>
    </row>
    <row r="438" spans="1:7" ht="15.6" x14ac:dyDescent="0.3">
      <c r="A438" s="15">
        <v>427</v>
      </c>
      <c r="B438" s="76"/>
      <c r="C438" s="64" t="s">
        <v>326</v>
      </c>
      <c r="D438" s="68" t="s">
        <v>239</v>
      </c>
      <c r="E438" s="68">
        <v>1950</v>
      </c>
      <c r="F438" s="84">
        <v>355.3578</v>
      </c>
      <c r="G438" s="63">
        <f t="shared" si="10"/>
        <v>692947.71</v>
      </c>
    </row>
    <row r="439" spans="1:7" ht="15.6" x14ac:dyDescent="0.3">
      <c r="A439" s="15"/>
      <c r="B439" s="19"/>
      <c r="C439" s="32" t="s">
        <v>345</v>
      </c>
      <c r="D439" s="48"/>
      <c r="E439" s="48"/>
      <c r="F439" s="49">
        <v>0</v>
      </c>
      <c r="G439" s="50">
        <f>SUM(G437,G427:G435,G419:G424,G403:G414,G400,G397,G390:G394,G386:G387,G384,G382,G380,G378,G376,G374,G372,G370,G368,G366,G364,G362,G360)+G398+G395+G388+G401+G415+G416</f>
        <v>49573668.980000004</v>
      </c>
    </row>
    <row r="440" spans="1:7" ht="15.6" x14ac:dyDescent="0.3">
      <c r="A440" s="15"/>
      <c r="B440" s="19"/>
      <c r="C440" s="32" t="s">
        <v>346</v>
      </c>
      <c r="D440" s="41"/>
      <c r="E440" s="41"/>
      <c r="F440" s="51">
        <v>0</v>
      </c>
      <c r="G440" s="50">
        <f>G438+G436+G425+G417+G402+G399+G396+G389+G385+G383+G381+G379+G377+G375+G373+G371+G369+G367+G365+G363+G361</f>
        <v>14607337.729999993</v>
      </c>
    </row>
    <row r="441" spans="1:7" ht="15.6" x14ac:dyDescent="0.3">
      <c r="A441" s="42"/>
      <c r="B441" s="43"/>
      <c r="C441" s="29" t="s">
        <v>329</v>
      </c>
      <c r="D441" s="43"/>
      <c r="E441" s="43"/>
      <c r="F441" s="44">
        <v>0</v>
      </c>
      <c r="G441" s="45"/>
    </row>
    <row r="442" spans="1:7" ht="15.6" x14ac:dyDescent="0.3">
      <c r="A442" s="15">
        <v>428</v>
      </c>
      <c r="B442" s="76" t="s">
        <v>331</v>
      </c>
      <c r="C442" s="12" t="s">
        <v>330</v>
      </c>
      <c r="D442" s="19" t="s">
        <v>20</v>
      </c>
      <c r="E442" s="19">
        <v>14</v>
      </c>
      <c r="F442" s="83">
        <v>41696.1414</v>
      </c>
      <c r="G442" s="27">
        <f>ROUND(E442*F442,2)</f>
        <v>583745.98</v>
      </c>
    </row>
    <row r="443" spans="1:7" ht="15.6" x14ac:dyDescent="0.3">
      <c r="A443" s="15">
        <v>429</v>
      </c>
      <c r="B443" s="76"/>
      <c r="C443" s="64" t="s">
        <v>333</v>
      </c>
      <c r="D443" s="68" t="s">
        <v>20</v>
      </c>
      <c r="E443" s="68">
        <v>14</v>
      </c>
      <c r="F443" s="84">
        <v>50934.618000000002</v>
      </c>
      <c r="G443" s="63">
        <f t="shared" ref="G443:G456" si="11">ROUND(E443*F443,2)</f>
        <v>713084.65</v>
      </c>
    </row>
    <row r="444" spans="1:7" ht="15.6" x14ac:dyDescent="0.3">
      <c r="A444" s="15">
        <v>430</v>
      </c>
      <c r="B444" s="76" t="s">
        <v>331</v>
      </c>
      <c r="C444" s="4" t="s">
        <v>332</v>
      </c>
      <c r="D444" s="19" t="s">
        <v>20</v>
      </c>
      <c r="E444" s="19">
        <v>14</v>
      </c>
      <c r="F444" s="83">
        <v>10508.04</v>
      </c>
      <c r="G444" s="24">
        <f t="shared" si="11"/>
        <v>147112.56</v>
      </c>
    </row>
    <row r="445" spans="1:7" ht="15.6" x14ac:dyDescent="0.3">
      <c r="A445" s="15">
        <v>431</v>
      </c>
      <c r="B445" s="76"/>
      <c r="C445" s="64" t="s">
        <v>334</v>
      </c>
      <c r="D445" s="68" t="s">
        <v>20</v>
      </c>
      <c r="E445" s="68">
        <v>14</v>
      </c>
      <c r="F445" s="84">
        <v>17767.89</v>
      </c>
      <c r="G445" s="63">
        <f t="shared" si="11"/>
        <v>248750.46</v>
      </c>
    </row>
    <row r="446" spans="1:7" ht="15.6" x14ac:dyDescent="0.3">
      <c r="A446" s="15">
        <v>432</v>
      </c>
      <c r="B446" s="76" t="s">
        <v>331</v>
      </c>
      <c r="C446" s="4" t="s">
        <v>335</v>
      </c>
      <c r="D446" s="19" t="s">
        <v>20</v>
      </c>
      <c r="E446" s="19">
        <v>14</v>
      </c>
      <c r="F446" s="83">
        <v>104697.06359999999</v>
      </c>
      <c r="G446" s="24">
        <f t="shared" si="11"/>
        <v>1465758.89</v>
      </c>
    </row>
    <row r="447" spans="1:7" ht="15.6" x14ac:dyDescent="0.3">
      <c r="A447" s="15">
        <v>433</v>
      </c>
      <c r="B447" s="76"/>
      <c r="C447" s="64" t="s">
        <v>336</v>
      </c>
      <c r="D447" s="68" t="s">
        <v>20</v>
      </c>
      <c r="E447" s="68">
        <v>14</v>
      </c>
      <c r="F447" s="84">
        <v>5685.7248</v>
      </c>
      <c r="G447" s="63">
        <f t="shared" si="11"/>
        <v>79600.149999999994</v>
      </c>
    </row>
    <row r="448" spans="1:7" ht="62.4" x14ac:dyDescent="0.3">
      <c r="A448" s="15">
        <v>434</v>
      </c>
      <c r="B448" s="76" t="s">
        <v>338</v>
      </c>
      <c r="C448" s="4" t="s">
        <v>337</v>
      </c>
      <c r="D448" s="19" t="s">
        <v>306</v>
      </c>
      <c r="E448" s="19">
        <v>3</v>
      </c>
      <c r="F448" s="83">
        <v>95738.862600000008</v>
      </c>
      <c r="G448" s="24">
        <f t="shared" si="11"/>
        <v>287216.59000000003</v>
      </c>
    </row>
    <row r="449" spans="1:8" ht="16.5" customHeight="1" x14ac:dyDescent="0.3">
      <c r="A449" s="15">
        <v>435</v>
      </c>
      <c r="B449" s="76"/>
      <c r="C449" s="64" t="s">
        <v>339</v>
      </c>
      <c r="D449" s="68" t="s">
        <v>306</v>
      </c>
      <c r="E449" s="68">
        <v>3</v>
      </c>
      <c r="F449" s="84">
        <v>30797.675999999999</v>
      </c>
      <c r="G449" s="63">
        <f t="shared" si="11"/>
        <v>92393.03</v>
      </c>
    </row>
    <row r="450" spans="1:8" ht="62.4" x14ac:dyDescent="0.3">
      <c r="A450" s="15">
        <v>436</v>
      </c>
      <c r="B450" s="76" t="s">
        <v>340</v>
      </c>
      <c r="C450" s="4" t="s">
        <v>341</v>
      </c>
      <c r="D450" s="19" t="s">
        <v>306</v>
      </c>
      <c r="E450" s="19">
        <v>3</v>
      </c>
      <c r="F450" s="83">
        <v>95738.862600000008</v>
      </c>
      <c r="G450" s="24">
        <f t="shared" si="11"/>
        <v>287216.59000000003</v>
      </c>
    </row>
    <row r="451" spans="1:8" ht="15.6" x14ac:dyDescent="0.3">
      <c r="A451" s="15">
        <v>437</v>
      </c>
      <c r="B451" s="76"/>
      <c r="C451" s="64" t="s">
        <v>339</v>
      </c>
      <c r="D451" s="68" t="s">
        <v>306</v>
      </c>
      <c r="E451" s="68">
        <v>3</v>
      </c>
      <c r="F451" s="84">
        <v>30797.675999999999</v>
      </c>
      <c r="G451" s="63">
        <f t="shared" si="11"/>
        <v>92393.03</v>
      </c>
    </row>
    <row r="452" spans="1:8" ht="15.75" customHeight="1" x14ac:dyDescent="0.3">
      <c r="A452" s="15">
        <v>438</v>
      </c>
      <c r="B452" s="4"/>
      <c r="C452" s="4" t="s">
        <v>342</v>
      </c>
      <c r="D452" s="19"/>
      <c r="E452" s="19"/>
      <c r="F452" s="83">
        <v>0</v>
      </c>
      <c r="G452" s="24"/>
    </row>
    <row r="453" spans="1:8" ht="64.5" customHeight="1" x14ac:dyDescent="0.3">
      <c r="A453" s="15">
        <v>439</v>
      </c>
      <c r="B453" s="76" t="s">
        <v>354</v>
      </c>
      <c r="C453" s="4" t="s">
        <v>353</v>
      </c>
      <c r="D453" s="19" t="s">
        <v>20</v>
      </c>
      <c r="E453" s="19">
        <v>10</v>
      </c>
      <c r="F453" s="83">
        <v>15762.06</v>
      </c>
      <c r="G453" s="24">
        <f t="shared" si="11"/>
        <v>157620.6</v>
      </c>
    </row>
    <row r="454" spans="1:8" ht="15.6" x14ac:dyDescent="0.3">
      <c r="A454" s="15">
        <v>440</v>
      </c>
      <c r="B454" s="76"/>
      <c r="C454" s="64" t="s">
        <v>158</v>
      </c>
      <c r="D454" s="68" t="s">
        <v>20</v>
      </c>
      <c r="E454" s="68">
        <f>SUM(E453:E453)</f>
        <v>10</v>
      </c>
      <c r="F454" s="84">
        <v>17767.89</v>
      </c>
      <c r="G454" s="63">
        <f t="shared" si="11"/>
        <v>177678.9</v>
      </c>
    </row>
    <row r="455" spans="1:8" ht="127.2" customHeight="1" x14ac:dyDescent="0.3">
      <c r="A455" s="15">
        <v>441</v>
      </c>
      <c r="B455" s="19" t="s">
        <v>356</v>
      </c>
      <c r="C455" s="14" t="s">
        <v>355</v>
      </c>
      <c r="D455" s="19" t="s">
        <v>20</v>
      </c>
      <c r="E455" s="19">
        <v>13</v>
      </c>
      <c r="F455" s="83">
        <v>15762.06</v>
      </c>
      <c r="G455" s="24">
        <f t="shared" si="11"/>
        <v>204906.78</v>
      </c>
    </row>
    <row r="456" spans="1:8" ht="15.6" x14ac:dyDescent="0.3">
      <c r="A456" s="15">
        <v>442</v>
      </c>
      <c r="B456" s="4"/>
      <c r="C456" s="64" t="s">
        <v>159</v>
      </c>
      <c r="D456" s="68" t="s">
        <v>20</v>
      </c>
      <c r="E456" s="68">
        <v>13</v>
      </c>
      <c r="F456" s="65">
        <v>17419.5</v>
      </c>
      <c r="G456" s="63">
        <f t="shared" si="11"/>
        <v>226453.5</v>
      </c>
    </row>
    <row r="457" spans="1:8" ht="15.6" x14ac:dyDescent="0.3">
      <c r="A457" s="15"/>
      <c r="B457" s="19"/>
      <c r="C457" s="32" t="s">
        <v>344</v>
      </c>
      <c r="D457" s="41"/>
      <c r="E457" s="41"/>
      <c r="F457" s="51">
        <v>0</v>
      </c>
      <c r="G457" s="52">
        <f>SUM(G455:G455,G452:G453,G450,G448,G446,G444,G442)</f>
        <v>3133577.99</v>
      </c>
    </row>
    <row r="458" spans="1:8" ht="15.6" x14ac:dyDescent="0.3">
      <c r="A458" s="15"/>
      <c r="B458" s="19"/>
      <c r="C458" s="32" t="s">
        <v>343</v>
      </c>
      <c r="D458" s="41"/>
      <c r="E458" s="41"/>
      <c r="F458" s="51">
        <v>0</v>
      </c>
      <c r="G458" s="52">
        <f>G456+G454+G451+G449+G447+G445+G443</f>
        <v>1630353.7200000002</v>
      </c>
    </row>
    <row r="459" spans="1:8" ht="15.6" x14ac:dyDescent="0.3">
      <c r="A459" s="42"/>
      <c r="B459" s="43"/>
      <c r="C459" s="29" t="s">
        <v>42</v>
      </c>
      <c r="D459" s="43"/>
      <c r="E459" s="43"/>
      <c r="F459" s="44">
        <v>0</v>
      </c>
      <c r="G459" s="45"/>
    </row>
    <row r="460" spans="1:8" s="57" customFormat="1" ht="15.6" x14ac:dyDescent="0.3">
      <c r="A460" s="56">
        <v>1</v>
      </c>
      <c r="B460" s="54"/>
      <c r="C460" s="53" t="s">
        <v>38</v>
      </c>
      <c r="D460" s="54" t="s">
        <v>306</v>
      </c>
      <c r="E460" s="54">
        <v>91</v>
      </c>
      <c r="F460" s="83">
        <v>153988.38</v>
      </c>
      <c r="G460" s="55">
        <f t="shared" ref="G460:G462" si="12">ROUND(E460*F460,2)</f>
        <v>14012942.58</v>
      </c>
      <c r="H460" s="82"/>
    </row>
    <row r="461" spans="1:8" s="57" customFormat="1" ht="15.6" x14ac:dyDescent="0.3">
      <c r="A461" s="56">
        <v>2</v>
      </c>
      <c r="B461" s="54"/>
      <c r="C461" s="53" t="s">
        <v>359</v>
      </c>
      <c r="D461" s="54" t="s">
        <v>306</v>
      </c>
      <c r="E461" s="54">
        <v>22</v>
      </c>
      <c r="F461" s="83">
        <v>153988.38</v>
      </c>
      <c r="G461" s="55">
        <f t="shared" si="12"/>
        <v>3387744.36</v>
      </c>
      <c r="H461" s="82"/>
    </row>
    <row r="462" spans="1:8" s="57" customFormat="1" ht="15.6" x14ac:dyDescent="0.3">
      <c r="A462" s="56">
        <v>3</v>
      </c>
      <c r="B462" s="54"/>
      <c r="C462" s="53" t="s">
        <v>40</v>
      </c>
      <c r="D462" s="54" t="s">
        <v>306</v>
      </c>
      <c r="E462" s="54">
        <v>22</v>
      </c>
      <c r="F462" s="83">
        <v>402738.84</v>
      </c>
      <c r="G462" s="55">
        <f t="shared" si="12"/>
        <v>8860254.4800000004</v>
      </c>
      <c r="H462" s="82"/>
    </row>
    <row r="463" spans="1:8" s="57" customFormat="1" ht="15.6" x14ac:dyDescent="0.3">
      <c r="A463" s="56">
        <v>4</v>
      </c>
      <c r="B463" s="54"/>
      <c r="C463" s="53" t="s">
        <v>41</v>
      </c>
      <c r="D463" s="54" t="s">
        <v>306</v>
      </c>
      <c r="E463" s="54">
        <v>20</v>
      </c>
      <c r="F463" s="83">
        <v>59226.3</v>
      </c>
      <c r="G463" s="55">
        <f>ROUND(E463*F463,2)</f>
        <v>1184526</v>
      </c>
      <c r="H463" s="82"/>
    </row>
    <row r="464" spans="1:8" ht="17.399999999999999" x14ac:dyDescent="0.3">
      <c r="A464" s="73" t="s">
        <v>4</v>
      </c>
      <c r="B464" s="74"/>
      <c r="C464" s="74"/>
      <c r="D464" s="75"/>
      <c r="E464" s="75"/>
      <c r="F464" s="58"/>
      <c r="G464" s="59">
        <f>G457+G439+G356+G247</f>
        <v>177840564.44</v>
      </c>
    </row>
    <row r="465" spans="1:7" ht="17.399999999999999" x14ac:dyDescent="0.3">
      <c r="A465" s="73" t="s">
        <v>5</v>
      </c>
      <c r="B465" s="74"/>
      <c r="C465" s="74"/>
      <c r="D465" s="75"/>
      <c r="E465" s="75"/>
      <c r="F465" s="58"/>
      <c r="G465" s="60">
        <f>G458+G440+G357+G248</f>
        <v>72523548.229999989</v>
      </c>
    </row>
    <row r="466" spans="1:7" ht="17.399999999999999" x14ac:dyDescent="0.3">
      <c r="A466" s="73" t="s">
        <v>43</v>
      </c>
      <c r="B466" s="74"/>
      <c r="C466" s="74"/>
      <c r="D466" s="75"/>
      <c r="E466" s="75"/>
      <c r="F466" s="58"/>
      <c r="G466" s="60">
        <f>G463+G462+G461+G460</f>
        <v>27445467.420000002</v>
      </c>
    </row>
    <row r="467" spans="1:7" ht="17.399999999999999" x14ac:dyDescent="0.3">
      <c r="A467" s="73" t="s">
        <v>360</v>
      </c>
      <c r="B467" s="74"/>
      <c r="C467" s="74"/>
      <c r="D467" s="75"/>
      <c r="E467" s="75"/>
      <c r="F467" s="58"/>
      <c r="G467" s="60">
        <f>SUM(G464:G466)</f>
        <v>277809580.08999997</v>
      </c>
    </row>
    <row r="468" spans="1:7" ht="0.75" customHeight="1" x14ac:dyDescent="0.3"/>
    <row r="469" spans="1:7" ht="15.6" x14ac:dyDescent="0.3"/>
    <row r="470" spans="1:7" ht="20.25" customHeight="1" x14ac:dyDescent="0.3">
      <c r="C470" s="72" t="s">
        <v>365</v>
      </c>
    </row>
    <row r="471" spans="1:7" ht="7.5" hidden="1" customHeight="1" x14ac:dyDescent="0.3"/>
    <row r="472" spans="1:7" ht="15.6" x14ac:dyDescent="0.3">
      <c r="C472" s="8" t="s">
        <v>366</v>
      </c>
      <c r="D472" s="1" t="s">
        <v>370</v>
      </c>
    </row>
    <row r="473" spans="1:7" ht="15.6" x14ac:dyDescent="0.3">
      <c r="C473" s="8" t="s">
        <v>367</v>
      </c>
      <c r="D473" s="1" t="s">
        <v>371</v>
      </c>
    </row>
    <row r="474" spans="1:7" ht="15.6" x14ac:dyDescent="0.3">
      <c r="C474" s="8" t="s">
        <v>368</v>
      </c>
      <c r="D474" s="1" t="s">
        <v>372</v>
      </c>
    </row>
    <row r="475" spans="1:7" ht="15.6" x14ac:dyDescent="0.3"/>
    <row r="476" spans="1:7" ht="15.6" x14ac:dyDescent="0.3">
      <c r="C476" s="8" t="s">
        <v>369</v>
      </c>
      <c r="D476" s="1" t="s">
        <v>373</v>
      </c>
    </row>
    <row r="477" spans="1:7" ht="15.6" x14ac:dyDescent="0.3"/>
    <row r="478" spans="1:7" ht="15.6" x14ac:dyDescent="0.3"/>
    <row r="479" spans="1:7" ht="15.6" x14ac:dyDescent="0.3"/>
    <row r="480" spans="1:7" ht="15.6" x14ac:dyDescent="0.3"/>
    <row r="481" ht="15.6" x14ac:dyDescent="0.3"/>
    <row r="482" ht="15.6" x14ac:dyDescent="0.3"/>
    <row r="483" ht="15.6" x14ac:dyDescent="0.3"/>
    <row r="484" ht="15.6" x14ac:dyDescent="0.3"/>
    <row r="485" ht="15.6" x14ac:dyDescent="0.3"/>
    <row r="486" ht="15.6" x14ac:dyDescent="0.3"/>
    <row r="487" ht="15.6" x14ac:dyDescent="0.3"/>
    <row r="488" ht="15.6" x14ac:dyDescent="0.3"/>
    <row r="489" ht="15.6" x14ac:dyDescent="0.3"/>
    <row r="490" ht="15.6" x14ac:dyDescent="0.3"/>
    <row r="491" ht="15.6" x14ac:dyDescent="0.3"/>
    <row r="492" ht="15.6" x14ac:dyDescent="0.3"/>
    <row r="493" ht="15.6" x14ac:dyDescent="0.3"/>
    <row r="494" ht="15.6" x14ac:dyDescent="0.3"/>
    <row r="495" ht="15.6" x14ac:dyDescent="0.3"/>
    <row r="496" ht="15.6" x14ac:dyDescent="0.3"/>
    <row r="497" ht="15.6" x14ac:dyDescent="0.3"/>
    <row r="498" ht="15.6" x14ac:dyDescent="0.3"/>
    <row r="499" ht="15.6" x14ac:dyDescent="0.3"/>
    <row r="500" ht="15.6" x14ac:dyDescent="0.3"/>
    <row r="501" ht="15.6" x14ac:dyDescent="0.3"/>
    <row r="502" ht="15.6" x14ac:dyDescent="0.3"/>
    <row r="503" ht="15.6" x14ac:dyDescent="0.3"/>
    <row r="504" ht="15.6" x14ac:dyDescent="0.3"/>
    <row r="505" ht="15.6" x14ac:dyDescent="0.3"/>
    <row r="506" ht="15.6" x14ac:dyDescent="0.3"/>
    <row r="507" ht="15.6" x14ac:dyDescent="0.3"/>
    <row r="508" ht="15.6" x14ac:dyDescent="0.3"/>
    <row r="509" ht="15.6" x14ac:dyDescent="0.3"/>
    <row r="510" ht="15.6" x14ac:dyDescent="0.3"/>
    <row r="511" ht="15.6" x14ac:dyDescent="0.3"/>
    <row r="512" ht="15.6" x14ac:dyDescent="0.3"/>
    <row r="513" ht="15.6" x14ac:dyDescent="0.3"/>
    <row r="514" ht="15.6" x14ac:dyDescent="0.3"/>
    <row r="515" ht="15.6" x14ac:dyDescent="0.3"/>
    <row r="516" ht="15.6" x14ac:dyDescent="0.3"/>
    <row r="517" ht="15.6" x14ac:dyDescent="0.3"/>
    <row r="518" ht="15.6" x14ac:dyDescent="0.3"/>
    <row r="519" ht="15.6" x14ac:dyDescent="0.3"/>
    <row r="520" ht="15.6" x14ac:dyDescent="0.3"/>
    <row r="521" ht="15.6" x14ac:dyDescent="0.3"/>
    <row r="522" ht="15.6" x14ac:dyDescent="0.3"/>
    <row r="523" ht="15.6" x14ac:dyDescent="0.3"/>
    <row r="524" ht="15.6" x14ac:dyDescent="0.3"/>
    <row r="525" ht="15.6" x14ac:dyDescent="0.3"/>
    <row r="526" ht="15.6" x14ac:dyDescent="0.3"/>
    <row r="527" ht="15.6" x14ac:dyDescent="0.3"/>
    <row r="528" ht="15.6" x14ac:dyDescent="0.3"/>
    <row r="529" ht="15.6" x14ac:dyDescent="0.3"/>
    <row r="530" ht="15.6" x14ac:dyDescent="0.3"/>
    <row r="531" ht="15.6" x14ac:dyDescent="0.3"/>
    <row r="532" ht="15.6" x14ac:dyDescent="0.3"/>
    <row r="533" ht="15.6" x14ac:dyDescent="0.3"/>
    <row r="534" ht="15.6" x14ac:dyDescent="0.3"/>
    <row r="535" ht="15.6" x14ac:dyDescent="0.3"/>
    <row r="536" ht="15.6" x14ac:dyDescent="0.3"/>
    <row r="537" ht="15.6" x14ac:dyDescent="0.3"/>
    <row r="538" ht="15.6" x14ac:dyDescent="0.3"/>
    <row r="539" ht="15.6" x14ac:dyDescent="0.3"/>
    <row r="540" ht="15.6" x14ac:dyDescent="0.3"/>
    <row r="541" ht="15.6" x14ac:dyDescent="0.3"/>
    <row r="542" ht="15.6" x14ac:dyDescent="0.3"/>
    <row r="543" ht="15.6" x14ac:dyDescent="0.3"/>
    <row r="544" ht="15.6" x14ac:dyDescent="0.3"/>
    <row r="545" ht="15.6" x14ac:dyDescent="0.3"/>
    <row r="546" ht="15.6" x14ac:dyDescent="0.3"/>
    <row r="547" ht="15.6" x14ac:dyDescent="0.3"/>
    <row r="548" ht="15.6" x14ac:dyDescent="0.3"/>
    <row r="549" ht="15.6" x14ac:dyDescent="0.3"/>
    <row r="550" ht="15.6" x14ac:dyDescent="0.3"/>
    <row r="551" ht="15.6" x14ac:dyDescent="0.3"/>
    <row r="552" ht="15.6" x14ac:dyDescent="0.3"/>
    <row r="553" ht="15.6" x14ac:dyDescent="0.3"/>
    <row r="554" ht="15.6" x14ac:dyDescent="0.3"/>
    <row r="555" ht="15.6" x14ac:dyDescent="0.3"/>
    <row r="556" ht="15.6" x14ac:dyDescent="0.3"/>
    <row r="557" ht="15.6" x14ac:dyDescent="0.3"/>
    <row r="558" ht="15.6" x14ac:dyDescent="0.3"/>
    <row r="559" ht="15.6" x14ac:dyDescent="0.3"/>
    <row r="560" ht="15.6" x14ac:dyDescent="0.3"/>
    <row r="561" ht="15.6" x14ac:dyDescent="0.3"/>
    <row r="562" ht="15.6" x14ac:dyDescent="0.3"/>
    <row r="563" ht="15.6" x14ac:dyDescent="0.3"/>
    <row r="564" ht="15.6" x14ac:dyDescent="0.3"/>
    <row r="565" ht="15.6" x14ac:dyDescent="0.3"/>
    <row r="566" ht="15.6" x14ac:dyDescent="0.3"/>
    <row r="567" ht="15.6" x14ac:dyDescent="0.3"/>
    <row r="568" ht="15.6" x14ac:dyDescent="0.3"/>
    <row r="569" ht="15.6" x14ac:dyDescent="0.3"/>
    <row r="570" ht="15.6" x14ac:dyDescent="0.3"/>
    <row r="571" ht="15.6" x14ac:dyDescent="0.3"/>
    <row r="572" ht="15.6" x14ac:dyDescent="0.3"/>
    <row r="573" ht="15.6" x14ac:dyDescent="0.3"/>
    <row r="574" ht="15.6" x14ac:dyDescent="0.3"/>
    <row r="575" ht="15.6" x14ac:dyDescent="0.3"/>
    <row r="576" ht="15.6" x14ac:dyDescent="0.3"/>
    <row r="577" ht="15.6" x14ac:dyDescent="0.3"/>
    <row r="578" ht="15.6" x14ac:dyDescent="0.3"/>
    <row r="579" ht="15.6" x14ac:dyDescent="0.3"/>
    <row r="580" ht="15.6" x14ac:dyDescent="0.3"/>
    <row r="581" ht="15.6" x14ac:dyDescent="0.3"/>
    <row r="582" ht="15.6" x14ac:dyDescent="0.3"/>
    <row r="583" ht="15.6" x14ac:dyDescent="0.3"/>
    <row r="584" ht="15.6" x14ac:dyDescent="0.3"/>
    <row r="585" ht="15.6" x14ac:dyDescent="0.3"/>
    <row r="586" ht="15.6" x14ac:dyDescent="0.3"/>
    <row r="587" ht="15.6" x14ac:dyDescent="0.3"/>
    <row r="588" ht="15.6" x14ac:dyDescent="0.3"/>
    <row r="589" ht="15.6" x14ac:dyDescent="0.3"/>
    <row r="590" ht="15.6" x14ac:dyDescent="0.3"/>
    <row r="591" ht="15.6" x14ac:dyDescent="0.3"/>
    <row r="592" ht="15.6" x14ac:dyDescent="0.3"/>
    <row r="593" ht="15.6" x14ac:dyDescent="0.3"/>
    <row r="594" ht="15.6" x14ac:dyDescent="0.3"/>
    <row r="595" ht="15.6" x14ac:dyDescent="0.3"/>
    <row r="596" ht="15.6" x14ac:dyDescent="0.3"/>
    <row r="597" ht="15.6" x14ac:dyDescent="0.3"/>
    <row r="598" ht="15.6" x14ac:dyDescent="0.3"/>
    <row r="599" ht="15.6" x14ac:dyDescent="0.3"/>
    <row r="600" ht="15.6" x14ac:dyDescent="0.3"/>
    <row r="601" ht="15.6" x14ac:dyDescent="0.3"/>
    <row r="602" ht="15.6" x14ac:dyDescent="0.3"/>
    <row r="603" ht="15.6" x14ac:dyDescent="0.3"/>
    <row r="604" ht="15.6" x14ac:dyDescent="0.3"/>
    <row r="605" ht="15.6" x14ac:dyDescent="0.3"/>
    <row r="606" ht="15.6" x14ac:dyDescent="0.3"/>
    <row r="607" ht="15.6" x14ac:dyDescent="0.3"/>
    <row r="608" ht="15.6" x14ac:dyDescent="0.3"/>
    <row r="609" ht="15.6" x14ac:dyDescent="0.3"/>
    <row r="610" ht="15.6" x14ac:dyDescent="0.3"/>
    <row r="611" ht="15.6" x14ac:dyDescent="0.3"/>
    <row r="612" ht="15.6" x14ac:dyDescent="0.3"/>
    <row r="613" ht="15.6" x14ac:dyDescent="0.3"/>
    <row r="614" ht="15.6" x14ac:dyDescent="0.3"/>
    <row r="615" ht="15.6" x14ac:dyDescent="0.3"/>
    <row r="616" ht="15.6" x14ac:dyDescent="0.3"/>
    <row r="617" ht="15.6" x14ac:dyDescent="0.3"/>
    <row r="618" ht="15.6" x14ac:dyDescent="0.3"/>
    <row r="619" ht="15.6" x14ac:dyDescent="0.3"/>
    <row r="620" ht="15.6" x14ac:dyDescent="0.3"/>
    <row r="621" ht="15.6" x14ac:dyDescent="0.3"/>
    <row r="622" ht="15.6" x14ac:dyDescent="0.3"/>
    <row r="623" ht="15.6" x14ac:dyDescent="0.3"/>
    <row r="624" ht="15.6" x14ac:dyDescent="0.3"/>
    <row r="625" spans="1:8" ht="15.6" x14ac:dyDescent="0.3"/>
    <row r="626" spans="1:8" ht="15.6" x14ac:dyDescent="0.3"/>
    <row r="627" spans="1:8" ht="15.6" x14ac:dyDescent="0.3"/>
    <row r="628" spans="1:8" ht="15.6" x14ac:dyDescent="0.3"/>
    <row r="629" spans="1:8" ht="15.6" x14ac:dyDescent="0.3"/>
    <row r="630" spans="1:8" ht="15.6" x14ac:dyDescent="0.3"/>
    <row r="631" spans="1:8" ht="15.6" x14ac:dyDescent="0.3"/>
    <row r="632" spans="1:8" ht="34.5" customHeight="1" x14ac:dyDescent="0.3"/>
    <row r="633" spans="1:8" s="2" customFormat="1" ht="15.6" x14ac:dyDescent="0.3">
      <c r="A633" s="18"/>
      <c r="C633" s="8"/>
      <c r="D633" s="1"/>
      <c r="E633" s="1"/>
      <c r="F633" s="21"/>
      <c r="G633" s="21"/>
      <c r="H633" s="82"/>
    </row>
    <row r="634" spans="1:8" s="2" customFormat="1" ht="15.6" x14ac:dyDescent="0.3">
      <c r="A634" s="18"/>
      <c r="C634" s="8"/>
      <c r="D634" s="1"/>
      <c r="E634" s="1"/>
      <c r="F634" s="21"/>
      <c r="G634" s="21"/>
      <c r="H634" s="82"/>
    </row>
    <row r="635" spans="1:8" s="2" customFormat="1" ht="15.6" x14ac:dyDescent="0.3">
      <c r="A635" s="18"/>
      <c r="C635" s="8"/>
      <c r="D635" s="1"/>
      <c r="E635" s="1"/>
      <c r="F635" s="21"/>
      <c r="G635" s="21"/>
      <c r="H635" s="82"/>
    </row>
    <row r="636" spans="1:8" s="2" customFormat="1" ht="15.6" x14ac:dyDescent="0.3">
      <c r="A636" s="18"/>
      <c r="C636" s="8"/>
      <c r="D636" s="1"/>
      <c r="E636" s="1"/>
      <c r="F636" s="21"/>
      <c r="G636" s="21"/>
      <c r="H636" s="82"/>
    </row>
    <row r="637" spans="1:8" s="2" customFormat="1" ht="15.6" x14ac:dyDescent="0.3">
      <c r="A637" s="18"/>
      <c r="C637" s="8"/>
      <c r="D637" s="1"/>
      <c r="E637" s="1"/>
      <c r="F637" s="21"/>
      <c r="G637" s="21"/>
      <c r="H637" s="82"/>
    </row>
    <row r="638" spans="1:8" ht="15.6" x14ac:dyDescent="0.3"/>
    <row r="639" spans="1:8" s="2" customFormat="1" ht="39.9" customHeight="1" x14ac:dyDescent="0.3">
      <c r="A639" s="18"/>
      <c r="C639" s="8"/>
      <c r="D639" s="1"/>
      <c r="E639" s="1"/>
      <c r="F639" s="21"/>
      <c r="G639" s="21"/>
      <c r="H639" s="82"/>
    </row>
    <row r="640" spans="1:8" s="2" customFormat="1" ht="15.6" x14ac:dyDescent="0.3">
      <c r="A640" s="18"/>
      <c r="C640" s="8"/>
      <c r="D640" s="1"/>
      <c r="E640" s="1"/>
      <c r="F640" s="21"/>
      <c r="G640" s="21"/>
      <c r="H640" s="82"/>
    </row>
    <row r="641" spans="1:8" s="2" customFormat="1" ht="15.6" x14ac:dyDescent="0.3">
      <c r="A641" s="18"/>
      <c r="C641" s="8"/>
      <c r="D641" s="1"/>
      <c r="E641" s="1"/>
      <c r="F641" s="21"/>
      <c r="G641" s="21"/>
      <c r="H641" s="82"/>
    </row>
    <row r="642" spans="1:8" s="2" customFormat="1" ht="15.6" x14ac:dyDescent="0.3">
      <c r="A642" s="18"/>
      <c r="C642" s="8"/>
      <c r="D642" s="1"/>
      <c r="E642" s="1"/>
      <c r="F642" s="21"/>
      <c r="G642" s="21"/>
      <c r="H642" s="82"/>
    </row>
    <row r="643" spans="1:8" s="2" customFormat="1" ht="15.6" x14ac:dyDescent="0.3">
      <c r="A643" s="18"/>
      <c r="C643" s="8"/>
      <c r="D643" s="1"/>
      <c r="E643" s="1"/>
      <c r="F643" s="21"/>
      <c r="G643" s="21"/>
      <c r="H643" s="82"/>
    </row>
    <row r="644" spans="1:8" ht="15.6" x14ac:dyDescent="0.3"/>
    <row r="645" spans="1:8" s="2" customFormat="1" ht="15.6" x14ac:dyDescent="0.3">
      <c r="A645" s="18"/>
      <c r="C645" s="8"/>
      <c r="D645" s="1"/>
      <c r="E645" s="1"/>
      <c r="F645" s="21"/>
      <c r="G645" s="21"/>
      <c r="H645" s="82"/>
    </row>
    <row r="646" spans="1:8" s="2" customFormat="1" ht="15.6" x14ac:dyDescent="0.3">
      <c r="A646" s="18"/>
      <c r="C646" s="8"/>
      <c r="D646" s="1"/>
      <c r="E646" s="1"/>
      <c r="F646" s="21"/>
      <c r="G646" s="21"/>
      <c r="H646" s="82"/>
    </row>
    <row r="647" spans="1:8" s="2" customFormat="1" ht="48" customHeight="1" x14ac:dyDescent="0.3">
      <c r="A647" s="18"/>
      <c r="C647" s="8"/>
      <c r="D647" s="1"/>
      <c r="E647" s="1"/>
      <c r="F647" s="21"/>
      <c r="G647" s="21"/>
      <c r="H647" s="82"/>
    </row>
    <row r="648" spans="1:8" s="2" customFormat="1" ht="15.6" x14ac:dyDescent="0.3">
      <c r="A648" s="18"/>
      <c r="C648" s="8"/>
      <c r="D648" s="1"/>
      <c r="E648" s="1"/>
      <c r="F648" s="21"/>
      <c r="G648" s="21"/>
      <c r="H648" s="82"/>
    </row>
    <row r="649" spans="1:8" s="2" customFormat="1" ht="15.6" x14ac:dyDescent="0.3">
      <c r="A649" s="18"/>
      <c r="C649" s="8"/>
      <c r="D649" s="1"/>
      <c r="E649" s="1"/>
      <c r="F649" s="21"/>
      <c r="G649" s="21"/>
      <c r="H649" s="82"/>
    </row>
    <row r="650" spans="1:8" ht="15.6" x14ac:dyDescent="0.3"/>
    <row r="651" spans="1:8" s="2" customFormat="1" ht="39.9" customHeight="1" x14ac:dyDescent="0.3">
      <c r="A651" s="18"/>
      <c r="C651" s="8"/>
      <c r="D651" s="1"/>
      <c r="E651" s="1"/>
      <c r="F651" s="21"/>
      <c r="G651" s="21"/>
      <c r="H651" s="82"/>
    </row>
    <row r="652" spans="1:8" s="2" customFormat="1" ht="15.6" x14ac:dyDescent="0.3">
      <c r="A652" s="18"/>
      <c r="C652" s="8"/>
      <c r="D652" s="1"/>
      <c r="E652" s="1"/>
      <c r="F652" s="21"/>
      <c r="G652" s="21"/>
      <c r="H652" s="82"/>
    </row>
    <row r="653" spans="1:8" s="2" customFormat="1" ht="15.6" x14ac:dyDescent="0.3">
      <c r="A653" s="18"/>
      <c r="C653" s="8"/>
      <c r="D653" s="1"/>
      <c r="E653" s="1"/>
      <c r="F653" s="21"/>
      <c r="G653" s="21"/>
      <c r="H653" s="82"/>
    </row>
    <row r="654" spans="1:8" s="2" customFormat="1" ht="15.6" x14ac:dyDescent="0.3">
      <c r="A654" s="18"/>
      <c r="C654" s="8"/>
      <c r="D654" s="1"/>
      <c r="E654" s="1"/>
      <c r="F654" s="21"/>
      <c r="G654" s="21"/>
      <c r="H654" s="82"/>
    </row>
    <row r="655" spans="1:8" s="2" customFormat="1" ht="15.6" x14ac:dyDescent="0.3">
      <c r="A655" s="18"/>
      <c r="C655" s="8"/>
      <c r="D655" s="1"/>
      <c r="E655" s="1"/>
      <c r="F655" s="21"/>
      <c r="G655" s="21"/>
      <c r="H655" s="82"/>
    </row>
    <row r="656" spans="1:8" ht="15.6" x14ac:dyDescent="0.3"/>
    <row r="657" spans="1:8" s="2" customFormat="1" ht="15.6" x14ac:dyDescent="0.3">
      <c r="A657" s="18"/>
      <c r="C657" s="8"/>
      <c r="D657" s="1"/>
      <c r="E657" s="1"/>
      <c r="F657" s="21"/>
      <c r="G657" s="21"/>
      <c r="H657" s="82"/>
    </row>
    <row r="658" spans="1:8" s="2" customFormat="1" ht="15.6" x14ac:dyDescent="0.3">
      <c r="A658" s="18"/>
      <c r="C658" s="8"/>
      <c r="D658" s="1"/>
      <c r="E658" s="1"/>
      <c r="F658" s="21"/>
      <c r="G658" s="21"/>
      <c r="H658" s="82"/>
    </row>
    <row r="659" spans="1:8" s="2" customFormat="1" ht="15.6" x14ac:dyDescent="0.3">
      <c r="A659" s="18"/>
      <c r="C659" s="8"/>
      <c r="D659" s="1"/>
      <c r="E659" s="1"/>
      <c r="F659" s="21"/>
      <c r="G659" s="21"/>
      <c r="H659" s="82"/>
    </row>
    <row r="660" spans="1:8" s="2" customFormat="1" ht="15.6" x14ac:dyDescent="0.3">
      <c r="A660" s="18"/>
      <c r="C660" s="8"/>
      <c r="D660" s="1"/>
      <c r="E660" s="1"/>
      <c r="F660" s="21"/>
      <c r="G660" s="21"/>
      <c r="H660" s="82"/>
    </row>
    <row r="661" spans="1:8" s="2" customFormat="1" ht="15.6" x14ac:dyDescent="0.3">
      <c r="A661" s="18"/>
      <c r="C661" s="8"/>
      <c r="D661" s="1"/>
      <c r="E661" s="1"/>
      <c r="F661" s="21"/>
      <c r="G661" s="21"/>
      <c r="H661" s="82"/>
    </row>
    <row r="662" spans="1:8" ht="15.6" x14ac:dyDescent="0.3"/>
    <row r="663" spans="1:8" s="2" customFormat="1" ht="15.6" x14ac:dyDescent="0.3">
      <c r="A663" s="18"/>
      <c r="C663" s="8"/>
      <c r="D663" s="1"/>
      <c r="E663" s="1"/>
      <c r="F663" s="21"/>
      <c r="G663" s="21"/>
      <c r="H663" s="82"/>
    </row>
    <row r="664" spans="1:8" s="2" customFormat="1" ht="15.6" x14ac:dyDescent="0.3">
      <c r="A664" s="18"/>
      <c r="C664" s="8"/>
      <c r="D664" s="1"/>
      <c r="E664" s="1"/>
      <c r="F664" s="21"/>
      <c r="G664" s="21"/>
      <c r="H664" s="82"/>
    </row>
    <row r="665" spans="1:8" ht="51" customHeight="1" x14ac:dyDescent="0.3"/>
    <row r="666" spans="1:8" ht="15.6" x14ac:dyDescent="0.3"/>
    <row r="667" spans="1:8" ht="15.6" x14ac:dyDescent="0.3"/>
    <row r="668" spans="1:8" s="2" customFormat="1" ht="15.6" x14ac:dyDescent="0.3">
      <c r="A668" s="18"/>
      <c r="C668" s="8"/>
      <c r="D668" s="1"/>
      <c r="E668" s="1"/>
      <c r="F668" s="21"/>
      <c r="G668" s="21"/>
      <c r="H668" s="82"/>
    </row>
    <row r="669" spans="1:8" ht="15.6" x14ac:dyDescent="0.3"/>
    <row r="670" spans="1:8" ht="15.6" x14ac:dyDescent="0.3"/>
    <row r="671" spans="1:8" s="2" customFormat="1" ht="48.75" customHeight="1" x14ac:dyDescent="0.3">
      <c r="A671" s="18"/>
      <c r="C671" s="8"/>
      <c r="D671" s="1"/>
      <c r="E671" s="1"/>
      <c r="F671" s="21"/>
      <c r="G671" s="21"/>
      <c r="H671" s="82"/>
    </row>
    <row r="672" spans="1:8" s="2" customFormat="1" ht="15.6" x14ac:dyDescent="0.3">
      <c r="A672" s="18"/>
      <c r="C672" s="8"/>
      <c r="D672" s="1"/>
      <c r="E672" s="1"/>
      <c r="F672" s="21"/>
      <c r="G672" s="21"/>
      <c r="H672" s="82"/>
    </row>
    <row r="673" spans="1:8" s="2" customFormat="1" ht="15.6" x14ac:dyDescent="0.3">
      <c r="A673" s="18"/>
      <c r="C673" s="8"/>
      <c r="D673" s="1"/>
      <c r="E673" s="1"/>
      <c r="F673" s="21"/>
      <c r="G673" s="21"/>
      <c r="H673" s="82"/>
    </row>
    <row r="674" spans="1:8" ht="15.6" x14ac:dyDescent="0.3"/>
    <row r="675" spans="1:8" s="2" customFormat="1" ht="15.6" x14ac:dyDescent="0.3">
      <c r="A675" s="18"/>
      <c r="C675" s="8"/>
      <c r="D675" s="1"/>
      <c r="E675" s="1"/>
      <c r="F675" s="21"/>
      <c r="G675" s="21"/>
      <c r="H675" s="82"/>
    </row>
    <row r="676" spans="1:8" s="2" customFormat="1" ht="15.6" x14ac:dyDescent="0.3">
      <c r="A676" s="18"/>
      <c r="C676" s="8"/>
      <c r="D676" s="1"/>
      <c r="E676" s="1"/>
      <c r="F676" s="21"/>
      <c r="G676" s="21"/>
      <c r="H676" s="82"/>
    </row>
    <row r="677" spans="1:8" s="2" customFormat="1" ht="15.6" x14ac:dyDescent="0.3">
      <c r="A677" s="18"/>
      <c r="C677" s="8"/>
      <c r="D677" s="1"/>
      <c r="E677" s="1"/>
      <c r="F677" s="21"/>
      <c r="G677" s="21"/>
      <c r="H677" s="82"/>
    </row>
    <row r="678" spans="1:8" s="2" customFormat="1" ht="15.6" x14ac:dyDescent="0.3">
      <c r="A678" s="18"/>
      <c r="C678" s="8"/>
      <c r="D678" s="1"/>
      <c r="E678" s="1"/>
      <c r="F678" s="21"/>
      <c r="G678" s="21"/>
      <c r="H678" s="82"/>
    </row>
    <row r="679" spans="1:8" s="2" customFormat="1" ht="15.6" x14ac:dyDescent="0.3">
      <c r="A679" s="18"/>
      <c r="C679" s="8"/>
      <c r="D679" s="1"/>
      <c r="E679" s="1"/>
      <c r="F679" s="21"/>
      <c r="G679" s="21"/>
      <c r="H679" s="82"/>
    </row>
    <row r="680" spans="1:8" ht="15.6" x14ac:dyDescent="0.3"/>
    <row r="681" spans="1:8" s="2" customFormat="1" ht="15.6" x14ac:dyDescent="0.3">
      <c r="A681" s="18"/>
      <c r="C681" s="8"/>
      <c r="D681" s="1"/>
      <c r="E681" s="1"/>
      <c r="F681" s="21"/>
      <c r="G681" s="21"/>
      <c r="H681" s="82"/>
    </row>
    <row r="682" spans="1:8" s="2" customFormat="1" ht="15.6" x14ac:dyDescent="0.3">
      <c r="A682" s="18"/>
      <c r="C682" s="8"/>
      <c r="D682" s="1"/>
      <c r="E682" s="1"/>
      <c r="F682" s="21"/>
      <c r="G682" s="21"/>
      <c r="H682" s="82"/>
    </row>
    <row r="683" spans="1:8" ht="50.25" customHeight="1" x14ac:dyDescent="0.3"/>
    <row r="684" spans="1:8" ht="15.6" x14ac:dyDescent="0.3"/>
    <row r="685" spans="1:8" ht="15.6" x14ac:dyDescent="0.3"/>
    <row r="686" spans="1:8" ht="15.6" x14ac:dyDescent="0.3"/>
    <row r="687" spans="1:8" s="2" customFormat="1" ht="15.6" x14ac:dyDescent="0.3">
      <c r="A687" s="18"/>
      <c r="C687" s="8"/>
      <c r="D687" s="1"/>
      <c r="E687" s="1"/>
      <c r="F687" s="21"/>
      <c r="G687" s="21"/>
      <c r="H687" s="82"/>
    </row>
    <row r="688" spans="1:8" s="2" customFormat="1" ht="15.6" x14ac:dyDescent="0.3">
      <c r="A688" s="18"/>
      <c r="C688" s="8"/>
      <c r="D688" s="1"/>
      <c r="E688" s="1"/>
      <c r="F688" s="21"/>
      <c r="G688" s="21"/>
      <c r="H688" s="82"/>
    </row>
    <row r="689" spans="1:8" s="2" customFormat="1" ht="15.6" x14ac:dyDescent="0.3">
      <c r="A689" s="18"/>
      <c r="C689" s="8"/>
      <c r="D689" s="1"/>
      <c r="E689" s="1"/>
      <c r="F689" s="21"/>
      <c r="G689" s="21"/>
      <c r="H689" s="82"/>
    </row>
    <row r="690" spans="1:8" ht="15.6" x14ac:dyDescent="0.3"/>
    <row r="691" spans="1:8" ht="15.6" x14ac:dyDescent="0.3"/>
    <row r="692" spans="1:8" ht="15.6" x14ac:dyDescent="0.3"/>
    <row r="693" spans="1:8" s="2" customFormat="1" ht="29.4" customHeight="1" x14ac:dyDescent="0.3">
      <c r="A693" s="18"/>
      <c r="C693" s="8"/>
      <c r="D693" s="1"/>
      <c r="E693" s="1"/>
      <c r="F693" s="21"/>
      <c r="G693" s="21"/>
      <c r="H693" s="82"/>
    </row>
    <row r="694" spans="1:8" s="2" customFormat="1" ht="15.6" x14ac:dyDescent="0.3">
      <c r="A694" s="18"/>
      <c r="C694" s="8"/>
      <c r="D694" s="1"/>
      <c r="E694" s="1"/>
      <c r="F694" s="21"/>
      <c r="G694" s="21"/>
      <c r="H694" s="82"/>
    </row>
    <row r="695" spans="1:8" ht="15.6" x14ac:dyDescent="0.3"/>
    <row r="696" spans="1:8" ht="15.6" x14ac:dyDescent="0.3"/>
    <row r="697" spans="1:8" ht="15.6" x14ac:dyDescent="0.3"/>
    <row r="698" spans="1:8" ht="15.6" x14ac:dyDescent="0.3"/>
    <row r="699" spans="1:8" s="2" customFormat="1" ht="15.6" x14ac:dyDescent="0.3">
      <c r="A699" s="18"/>
      <c r="C699" s="8"/>
      <c r="D699" s="1"/>
      <c r="E699" s="1"/>
      <c r="F699" s="21"/>
      <c r="G699" s="21"/>
      <c r="H699" s="82"/>
    </row>
    <row r="700" spans="1:8" s="2" customFormat="1" ht="15.6" x14ac:dyDescent="0.3">
      <c r="A700" s="18"/>
      <c r="C700" s="8"/>
      <c r="D700" s="1"/>
      <c r="E700" s="1"/>
      <c r="F700" s="21"/>
      <c r="G700" s="21"/>
      <c r="H700" s="82"/>
    </row>
    <row r="701" spans="1:8" s="2" customFormat="1" ht="15.6" x14ac:dyDescent="0.3">
      <c r="A701" s="18"/>
      <c r="C701" s="8"/>
      <c r="D701" s="1"/>
      <c r="E701" s="1"/>
      <c r="F701" s="21"/>
      <c r="G701" s="21"/>
      <c r="H701" s="82"/>
    </row>
    <row r="702" spans="1:8" s="2" customFormat="1" ht="15.6" x14ac:dyDescent="0.3">
      <c r="A702" s="18"/>
      <c r="C702" s="8"/>
      <c r="D702" s="1"/>
      <c r="E702" s="1"/>
      <c r="F702" s="21"/>
      <c r="G702" s="21"/>
      <c r="H702" s="82"/>
    </row>
    <row r="703" spans="1:8" s="2" customFormat="1" ht="15.6" x14ac:dyDescent="0.3">
      <c r="A703" s="18"/>
      <c r="C703" s="8"/>
      <c r="D703" s="1"/>
      <c r="E703" s="1"/>
      <c r="F703" s="21"/>
      <c r="G703" s="21"/>
      <c r="H703" s="82"/>
    </row>
    <row r="704" spans="1:8" s="2" customFormat="1" ht="15.6" x14ac:dyDescent="0.3">
      <c r="A704" s="18"/>
      <c r="C704" s="8"/>
      <c r="D704" s="1"/>
      <c r="E704" s="1"/>
      <c r="F704" s="21"/>
      <c r="G704" s="21"/>
      <c r="H704" s="82"/>
    </row>
    <row r="705" spans="1:8" s="2" customFormat="1" ht="15.6" x14ac:dyDescent="0.3">
      <c r="A705" s="18"/>
      <c r="C705" s="8"/>
      <c r="D705" s="1"/>
      <c r="E705" s="1"/>
      <c r="F705" s="21"/>
      <c r="G705" s="21"/>
      <c r="H705" s="82"/>
    </row>
    <row r="706" spans="1:8" s="2" customFormat="1" ht="15.6" x14ac:dyDescent="0.3">
      <c r="A706" s="18"/>
      <c r="C706" s="8"/>
      <c r="D706" s="1"/>
      <c r="E706" s="1"/>
      <c r="F706" s="21"/>
      <c r="G706" s="21"/>
      <c r="H706" s="82"/>
    </row>
    <row r="707" spans="1:8" ht="18.45" customHeight="1" x14ac:dyDescent="0.3"/>
    <row r="708" spans="1:8" ht="15.6" x14ac:dyDescent="0.3"/>
    <row r="709" spans="1:8" ht="15.6" x14ac:dyDescent="0.3"/>
    <row r="710" spans="1:8" ht="15.6" x14ac:dyDescent="0.3"/>
    <row r="711" spans="1:8" ht="15.6" x14ac:dyDescent="0.3"/>
    <row r="712" spans="1:8" s="2" customFormat="1" ht="15.6" x14ac:dyDescent="0.3">
      <c r="A712" s="18"/>
      <c r="C712" s="8"/>
      <c r="D712" s="1"/>
      <c r="E712" s="1"/>
      <c r="F712" s="21"/>
      <c r="G712" s="21"/>
      <c r="H712" s="82"/>
    </row>
    <row r="713" spans="1:8" s="2" customFormat="1" ht="15.6" x14ac:dyDescent="0.3">
      <c r="A713" s="18"/>
      <c r="C713" s="8"/>
      <c r="D713" s="1"/>
      <c r="E713" s="1"/>
      <c r="F713" s="21"/>
      <c r="G713" s="21"/>
      <c r="H713" s="82"/>
    </row>
    <row r="714" spans="1:8" s="2" customFormat="1" ht="15.6" x14ac:dyDescent="0.3">
      <c r="A714" s="18"/>
      <c r="C714" s="8"/>
      <c r="D714" s="1"/>
      <c r="E714" s="1"/>
      <c r="F714" s="21"/>
      <c r="G714" s="21"/>
      <c r="H714" s="82"/>
    </row>
    <row r="715" spans="1:8" s="2" customFormat="1" ht="15.6" x14ac:dyDescent="0.3">
      <c r="A715" s="18"/>
      <c r="C715" s="8"/>
      <c r="D715" s="1"/>
      <c r="E715" s="1"/>
      <c r="F715" s="21"/>
      <c r="G715" s="21"/>
      <c r="H715" s="82"/>
    </row>
    <row r="716" spans="1:8" s="2" customFormat="1" ht="15.6" x14ac:dyDescent="0.3">
      <c r="A716" s="18"/>
      <c r="C716" s="8"/>
      <c r="D716" s="1"/>
      <c r="E716" s="1"/>
      <c r="F716" s="21"/>
      <c r="G716" s="21"/>
      <c r="H716" s="82"/>
    </row>
    <row r="717" spans="1:8" s="2" customFormat="1" ht="15.6" x14ac:dyDescent="0.3">
      <c r="A717" s="18"/>
      <c r="C717" s="8"/>
      <c r="D717" s="1"/>
      <c r="E717" s="1"/>
      <c r="F717" s="21"/>
      <c r="G717" s="21"/>
      <c r="H717" s="82"/>
    </row>
    <row r="718" spans="1:8" s="2" customFormat="1" ht="15.6" x14ac:dyDescent="0.3">
      <c r="A718" s="18"/>
      <c r="C718" s="8"/>
      <c r="D718" s="1"/>
      <c r="E718" s="1"/>
      <c r="F718" s="21"/>
      <c r="G718" s="21"/>
      <c r="H718" s="82"/>
    </row>
    <row r="719" spans="1:8" s="2" customFormat="1" ht="15.6" x14ac:dyDescent="0.3">
      <c r="A719" s="18"/>
      <c r="C719" s="8"/>
      <c r="D719" s="1"/>
      <c r="E719" s="1"/>
      <c r="F719" s="21"/>
      <c r="G719" s="21"/>
      <c r="H719" s="82"/>
    </row>
    <row r="720" spans="1:8" s="2" customFormat="1" ht="15.6" x14ac:dyDescent="0.3">
      <c r="A720" s="18"/>
      <c r="C720" s="8"/>
      <c r="D720" s="1"/>
      <c r="E720" s="1"/>
      <c r="F720" s="21"/>
      <c r="G720" s="21"/>
      <c r="H720" s="82"/>
    </row>
    <row r="721" spans="1:8" s="2" customFormat="1" ht="15.6" x14ac:dyDescent="0.3">
      <c r="A721" s="18"/>
      <c r="C721" s="8"/>
      <c r="D721" s="1"/>
      <c r="E721" s="1"/>
      <c r="F721" s="21"/>
      <c r="G721" s="21"/>
      <c r="H721" s="82"/>
    </row>
    <row r="722" spans="1:8" s="2" customFormat="1" ht="15.6" x14ac:dyDescent="0.3">
      <c r="A722" s="18"/>
      <c r="C722" s="8"/>
      <c r="D722" s="1"/>
      <c r="E722" s="1"/>
      <c r="F722" s="21"/>
      <c r="G722" s="21"/>
      <c r="H722" s="82"/>
    </row>
    <row r="723" spans="1:8" s="2" customFormat="1" ht="15.6" x14ac:dyDescent="0.3">
      <c r="A723" s="18"/>
      <c r="C723" s="8"/>
      <c r="D723" s="1"/>
      <c r="E723" s="1"/>
      <c r="F723" s="21"/>
      <c r="G723" s="21"/>
      <c r="H723" s="82"/>
    </row>
    <row r="724" spans="1:8" s="2" customFormat="1" ht="15.6" x14ac:dyDescent="0.3">
      <c r="A724" s="18"/>
      <c r="C724" s="8"/>
      <c r="D724" s="1"/>
      <c r="E724" s="1"/>
      <c r="F724" s="21"/>
      <c r="G724" s="21"/>
      <c r="H724" s="82"/>
    </row>
    <row r="725" spans="1:8" s="2" customFormat="1" ht="15.6" x14ac:dyDescent="0.3">
      <c r="A725" s="18"/>
      <c r="C725" s="8"/>
      <c r="D725" s="1"/>
      <c r="E725" s="1"/>
      <c r="F725" s="21"/>
      <c r="G725" s="21"/>
      <c r="H725" s="82"/>
    </row>
    <row r="726" spans="1:8" s="2" customFormat="1" ht="15.6" x14ac:dyDescent="0.3">
      <c r="A726" s="18"/>
      <c r="C726" s="8"/>
      <c r="D726" s="1"/>
      <c r="E726" s="1"/>
      <c r="F726" s="21"/>
      <c r="G726" s="21"/>
      <c r="H726" s="82"/>
    </row>
    <row r="727" spans="1:8" s="2" customFormat="1" ht="14.4" customHeight="1" x14ac:dyDescent="0.3">
      <c r="A727" s="18"/>
      <c r="C727" s="8"/>
      <c r="D727" s="1"/>
      <c r="E727" s="1"/>
      <c r="F727" s="21"/>
      <c r="G727" s="21"/>
      <c r="H727" s="82"/>
    </row>
    <row r="728" spans="1:8" s="2" customFormat="1" ht="15.6" x14ac:dyDescent="0.3">
      <c r="A728" s="18"/>
      <c r="C728" s="8"/>
      <c r="D728" s="1"/>
      <c r="E728" s="1"/>
      <c r="F728" s="21"/>
      <c r="G728" s="21"/>
      <c r="H728" s="82"/>
    </row>
    <row r="729" spans="1:8" s="2" customFormat="1" ht="15.6" x14ac:dyDescent="0.3">
      <c r="A729" s="18"/>
      <c r="C729" s="8"/>
      <c r="D729" s="1"/>
      <c r="E729" s="1"/>
      <c r="F729" s="21"/>
      <c r="G729" s="21"/>
      <c r="H729" s="82"/>
    </row>
    <row r="730" spans="1:8" s="2" customFormat="1" ht="15.6" x14ac:dyDescent="0.3">
      <c r="A730" s="18"/>
      <c r="C730" s="8"/>
      <c r="D730" s="1"/>
      <c r="E730" s="1"/>
      <c r="F730" s="21"/>
      <c r="G730" s="21"/>
      <c r="H730" s="82"/>
    </row>
    <row r="731" spans="1:8" s="2" customFormat="1" ht="15.6" x14ac:dyDescent="0.3">
      <c r="A731" s="18"/>
      <c r="C731" s="8"/>
      <c r="D731" s="1"/>
      <c r="E731" s="1"/>
      <c r="F731" s="21"/>
      <c r="G731" s="21"/>
      <c r="H731" s="82"/>
    </row>
    <row r="732" spans="1:8" s="2" customFormat="1" ht="15.6" x14ac:dyDescent="0.3">
      <c r="A732" s="18"/>
      <c r="C732" s="8"/>
      <c r="D732" s="1"/>
      <c r="E732" s="1"/>
      <c r="F732" s="21"/>
      <c r="G732" s="21"/>
      <c r="H732" s="82"/>
    </row>
    <row r="733" spans="1:8" s="2" customFormat="1" ht="15.6" x14ac:dyDescent="0.3">
      <c r="A733" s="18"/>
      <c r="C733" s="8"/>
      <c r="D733" s="1"/>
      <c r="E733" s="1"/>
      <c r="F733" s="21"/>
      <c r="G733" s="21"/>
      <c r="H733" s="82"/>
    </row>
    <row r="734" spans="1:8" s="2" customFormat="1" ht="15.6" x14ac:dyDescent="0.3">
      <c r="A734" s="18"/>
      <c r="C734" s="8"/>
      <c r="D734" s="1"/>
      <c r="E734" s="1"/>
      <c r="F734" s="21"/>
      <c r="G734" s="21"/>
      <c r="H734" s="82"/>
    </row>
    <row r="735" spans="1:8" s="2" customFormat="1" ht="15.6" x14ac:dyDescent="0.3">
      <c r="A735" s="18"/>
      <c r="C735" s="8"/>
      <c r="D735" s="1"/>
      <c r="E735" s="1"/>
      <c r="F735" s="21"/>
      <c r="G735" s="21"/>
      <c r="H735" s="82"/>
    </row>
    <row r="736" spans="1:8" s="2" customFormat="1" ht="15.6" x14ac:dyDescent="0.3">
      <c r="A736" s="18"/>
      <c r="C736" s="8"/>
      <c r="D736" s="1"/>
      <c r="E736" s="1"/>
      <c r="F736" s="21"/>
      <c r="G736" s="21"/>
      <c r="H736" s="82"/>
    </row>
    <row r="737" spans="1:8" s="2" customFormat="1" ht="15.6" x14ac:dyDescent="0.3">
      <c r="A737" s="18"/>
      <c r="C737" s="8"/>
      <c r="D737" s="1"/>
      <c r="E737" s="1"/>
      <c r="F737" s="21"/>
      <c r="G737" s="21"/>
      <c r="H737" s="82"/>
    </row>
    <row r="738" spans="1:8" s="2" customFormat="1" ht="15.6" x14ac:dyDescent="0.3">
      <c r="A738" s="18"/>
      <c r="C738" s="8"/>
      <c r="D738" s="1"/>
      <c r="E738" s="1"/>
      <c r="F738" s="21"/>
      <c r="G738" s="21"/>
      <c r="H738" s="82"/>
    </row>
    <row r="739" spans="1:8" s="2" customFormat="1" ht="15.6" x14ac:dyDescent="0.3">
      <c r="A739" s="18"/>
      <c r="C739" s="8"/>
      <c r="D739" s="1"/>
      <c r="E739" s="1"/>
      <c r="F739" s="21"/>
      <c r="G739" s="21"/>
      <c r="H739" s="82"/>
    </row>
    <row r="740" spans="1:8" s="2" customFormat="1" ht="15.6" x14ac:dyDescent="0.3">
      <c r="A740" s="18"/>
      <c r="C740" s="8"/>
      <c r="D740" s="1"/>
      <c r="E740" s="1"/>
      <c r="F740" s="21"/>
      <c r="G740" s="21"/>
      <c r="H740" s="82"/>
    </row>
    <row r="741" spans="1:8" s="2" customFormat="1" ht="15.6" x14ac:dyDescent="0.3">
      <c r="A741" s="18"/>
      <c r="C741" s="8"/>
      <c r="D741" s="1"/>
      <c r="E741" s="1"/>
      <c r="F741" s="21"/>
      <c r="G741" s="21"/>
      <c r="H741" s="82"/>
    </row>
    <row r="742" spans="1:8" s="2" customFormat="1" ht="15.6" x14ac:dyDescent="0.3">
      <c r="A742" s="18"/>
      <c r="C742" s="8"/>
      <c r="D742" s="1"/>
      <c r="E742" s="1"/>
      <c r="F742" s="21"/>
      <c r="G742" s="21"/>
      <c r="H742" s="82"/>
    </row>
    <row r="743" spans="1:8" s="2" customFormat="1" ht="15.6" x14ac:dyDescent="0.3">
      <c r="A743" s="18"/>
      <c r="C743" s="8"/>
      <c r="D743" s="1"/>
      <c r="E743" s="1"/>
      <c r="F743" s="21"/>
      <c r="G743" s="21"/>
      <c r="H743" s="82"/>
    </row>
    <row r="744" spans="1:8" s="2" customFormat="1" ht="15.6" x14ac:dyDescent="0.3">
      <c r="A744" s="18"/>
      <c r="C744" s="8"/>
      <c r="D744" s="1"/>
      <c r="E744" s="1"/>
      <c r="F744" s="21"/>
      <c r="G744" s="21"/>
      <c r="H744" s="82"/>
    </row>
    <row r="745" spans="1:8" s="2" customFormat="1" ht="15.6" x14ac:dyDescent="0.3">
      <c r="A745" s="18"/>
      <c r="C745" s="8"/>
      <c r="D745" s="1"/>
      <c r="E745" s="1"/>
      <c r="F745" s="21"/>
      <c r="G745" s="21"/>
      <c r="H745" s="82"/>
    </row>
    <row r="746" spans="1:8" s="2" customFormat="1" ht="15.6" x14ac:dyDescent="0.3">
      <c r="A746" s="18"/>
      <c r="C746" s="8"/>
      <c r="D746" s="1"/>
      <c r="E746" s="1"/>
      <c r="F746" s="21"/>
      <c r="G746" s="21"/>
      <c r="H746" s="82"/>
    </row>
    <row r="747" spans="1:8" s="2" customFormat="1" ht="15.6" x14ac:dyDescent="0.3">
      <c r="A747" s="18"/>
      <c r="C747" s="8"/>
      <c r="D747" s="1"/>
      <c r="E747" s="1"/>
      <c r="F747" s="21"/>
      <c r="G747" s="21"/>
      <c r="H747" s="82"/>
    </row>
    <row r="748" spans="1:8" s="2" customFormat="1" ht="15.6" x14ac:dyDescent="0.3">
      <c r="A748" s="18"/>
      <c r="C748" s="8"/>
      <c r="D748" s="1"/>
      <c r="E748" s="1"/>
      <c r="F748" s="21"/>
      <c r="G748" s="21"/>
      <c r="H748" s="82"/>
    </row>
    <row r="749" spans="1:8" s="2" customFormat="1" ht="15.6" x14ac:dyDescent="0.3">
      <c r="A749" s="18"/>
      <c r="C749" s="8"/>
      <c r="D749" s="1"/>
      <c r="E749" s="1"/>
      <c r="F749" s="21"/>
      <c r="G749" s="21"/>
      <c r="H749" s="82"/>
    </row>
    <row r="750" spans="1:8" ht="15.6" x14ac:dyDescent="0.3"/>
    <row r="751" spans="1:8" ht="15.6" x14ac:dyDescent="0.3"/>
    <row r="752" spans="1:8" s="2" customFormat="1" ht="15.6" x14ac:dyDescent="0.3">
      <c r="A752" s="18"/>
      <c r="C752" s="8"/>
      <c r="D752" s="1"/>
      <c r="E752" s="1"/>
      <c r="F752" s="21"/>
      <c r="G752" s="21"/>
      <c r="H752" s="82"/>
    </row>
    <row r="753" spans="1:8" s="2" customFormat="1" ht="15.6" x14ac:dyDescent="0.3">
      <c r="A753" s="18"/>
      <c r="C753" s="8"/>
      <c r="D753" s="1"/>
      <c r="E753" s="1"/>
      <c r="F753" s="21"/>
      <c r="G753" s="21"/>
      <c r="H753" s="82"/>
    </row>
    <row r="754" spans="1:8" ht="15.6" x14ac:dyDescent="0.3"/>
    <row r="755" spans="1:8" ht="15.6" x14ac:dyDescent="0.3"/>
    <row r="756" spans="1:8" ht="15.6" x14ac:dyDescent="0.3"/>
    <row r="757" spans="1:8" ht="15.6" x14ac:dyDescent="0.3"/>
    <row r="758" spans="1:8" ht="15.6" x14ac:dyDescent="0.3"/>
    <row r="759" spans="1:8" ht="15.6" x14ac:dyDescent="0.3"/>
    <row r="760" spans="1:8" ht="24.9" customHeight="1" x14ac:dyDescent="0.3"/>
    <row r="761" spans="1:8" ht="32.1" customHeight="1" x14ac:dyDescent="0.3"/>
    <row r="762" spans="1:8" ht="58.95" customHeight="1" x14ac:dyDescent="0.3"/>
    <row r="763" spans="1:8" ht="43.95" customHeight="1" x14ac:dyDescent="0.3"/>
    <row r="764" spans="1:8" ht="15.6" x14ac:dyDescent="0.3"/>
    <row r="765" spans="1:8" ht="15.6" x14ac:dyDescent="0.3"/>
    <row r="766" spans="1:8" ht="15.6" x14ac:dyDescent="0.3"/>
    <row r="767" spans="1:8" ht="15.6" x14ac:dyDescent="0.3"/>
    <row r="768" spans="1:8" ht="21.75" customHeight="1" x14ac:dyDescent="0.3"/>
    <row r="769" ht="15.6" x14ac:dyDescent="0.3"/>
    <row r="770" ht="15.6" x14ac:dyDescent="0.3"/>
    <row r="771" ht="15.6" x14ac:dyDescent="0.3"/>
  </sheetData>
  <autoFilter ref="A3:G469" xr:uid="{00000000-0009-0000-0000-000000000000}"/>
  <mergeCells count="109">
    <mergeCell ref="B153:B156"/>
    <mergeCell ref="B157:B161"/>
    <mergeCell ref="B91:B94"/>
    <mergeCell ref="B95:B98"/>
    <mergeCell ref="B99:B102"/>
    <mergeCell ref="B128:B131"/>
    <mergeCell ref="B132:B135"/>
    <mergeCell ref="B136:B140"/>
    <mergeCell ref="B141:B144"/>
    <mergeCell ref="B145:B148"/>
    <mergeCell ref="B149:B152"/>
    <mergeCell ref="B103:B106"/>
    <mergeCell ref="B107:B111"/>
    <mergeCell ref="B112:B115"/>
    <mergeCell ref="B116:B119"/>
    <mergeCell ref="B120:B123"/>
    <mergeCell ref="B124:B127"/>
    <mergeCell ref="A2:G2"/>
    <mergeCell ref="B5:B8"/>
    <mergeCell ref="B9:B12"/>
    <mergeCell ref="B13:B16"/>
    <mergeCell ref="B17:B20"/>
    <mergeCell ref="B21:B24"/>
    <mergeCell ref="B79:B82"/>
    <mergeCell ref="B83:B86"/>
    <mergeCell ref="B87:B90"/>
    <mergeCell ref="B53:B56"/>
    <mergeCell ref="B57:B61"/>
    <mergeCell ref="B62:B65"/>
    <mergeCell ref="B66:B69"/>
    <mergeCell ref="B70:B74"/>
    <mergeCell ref="B75:B78"/>
    <mergeCell ref="B29:B32"/>
    <mergeCell ref="B25:B28"/>
    <mergeCell ref="B33:B36"/>
    <mergeCell ref="B37:B40"/>
    <mergeCell ref="B41:B44"/>
    <mergeCell ref="B45:B48"/>
    <mergeCell ref="B49:B52"/>
    <mergeCell ref="B310:B315"/>
    <mergeCell ref="B162:B165"/>
    <mergeCell ref="B166:B170"/>
    <mergeCell ref="B171:B174"/>
    <mergeCell ref="B175:B178"/>
    <mergeCell ref="B227:B230"/>
    <mergeCell ref="B231:B234"/>
    <mergeCell ref="B235:B238"/>
    <mergeCell ref="B239:B242"/>
    <mergeCell ref="B243:B246"/>
    <mergeCell ref="B203:B206"/>
    <mergeCell ref="B207:B210"/>
    <mergeCell ref="B211:B214"/>
    <mergeCell ref="B215:B218"/>
    <mergeCell ref="B219:B222"/>
    <mergeCell ref="B223:B226"/>
    <mergeCell ref="B179:B182"/>
    <mergeCell ref="B183:B186"/>
    <mergeCell ref="B187:B190"/>
    <mergeCell ref="B191:B194"/>
    <mergeCell ref="B195:B198"/>
    <mergeCell ref="B199:B202"/>
    <mergeCell ref="B250:B255"/>
    <mergeCell ref="B256:B261"/>
    <mergeCell ref="B262:B267"/>
    <mergeCell ref="B268:B273"/>
    <mergeCell ref="B274:B279"/>
    <mergeCell ref="B362:B363"/>
    <mergeCell ref="B364:B365"/>
    <mergeCell ref="A1:G1"/>
    <mergeCell ref="A465:E465"/>
    <mergeCell ref="A464:E464"/>
    <mergeCell ref="B280:B285"/>
    <mergeCell ref="B286:B291"/>
    <mergeCell ref="B292:B297"/>
    <mergeCell ref="B298:B303"/>
    <mergeCell ref="B304:B309"/>
    <mergeCell ref="B376:B377"/>
    <mergeCell ref="B378:B379"/>
    <mergeCell ref="B380:B381"/>
    <mergeCell ref="B382:B383"/>
    <mergeCell ref="B384:B385"/>
    <mergeCell ref="B351:B355"/>
    <mergeCell ref="B360:B361"/>
    <mergeCell ref="B366:B367"/>
    <mergeCell ref="B368:B369"/>
    <mergeCell ref="A466:E466"/>
    <mergeCell ref="A467:E467"/>
    <mergeCell ref="B346:B350"/>
    <mergeCell ref="B316:B320"/>
    <mergeCell ref="B321:B325"/>
    <mergeCell ref="B326:B330"/>
    <mergeCell ref="B331:B335"/>
    <mergeCell ref="B336:B340"/>
    <mergeCell ref="B341:B345"/>
    <mergeCell ref="B453:B454"/>
    <mergeCell ref="B372:B373"/>
    <mergeCell ref="B374:B375"/>
    <mergeCell ref="B448:B449"/>
    <mergeCell ref="B450:B451"/>
    <mergeCell ref="B442:B443"/>
    <mergeCell ref="B444:B445"/>
    <mergeCell ref="B446:B447"/>
    <mergeCell ref="B386:B396"/>
    <mergeCell ref="B397:B399"/>
    <mergeCell ref="B400:B402"/>
    <mergeCell ref="B403:B417"/>
    <mergeCell ref="B418:B436"/>
    <mergeCell ref="B370:B371"/>
    <mergeCell ref="B437:B438"/>
  </mergeCells>
  <pageMargins left="0.25" right="0.25" top="0.75" bottom="0.75" header="0.3" footer="0.3"/>
  <pageSetup paperSize="9" scale="83" fitToHeight="0" orientation="landscape" verticalDpi="300" r:id="rId1"/>
  <rowBreaks count="1" manualBreakCount="1">
    <brk id="449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Приложение к Доп_соглашению</vt:lpstr>
      <vt:lpstr>'Приложение к Доп_соглашению'!Область_печати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Калькаев Павел Николаевич</dc:creator>
  <cp:lastModifiedBy>elka_evv@mail.ru</cp:lastModifiedBy>
  <cp:lastPrinted>2026-01-23T10:12:27Z</cp:lastPrinted>
  <dcterms:created xsi:type="dcterms:W3CDTF">2023-12-06T07:59:33Z</dcterms:created>
  <dcterms:modified xsi:type="dcterms:W3CDTF">2026-01-27T07:08:53Z</dcterms:modified>
</cp:coreProperties>
</file>