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L:\Группа закупок САиБ ДЭиА\Закупки\2026\1. Январь\0LC-056-24-ДИЗ-1270 (Ф.А.С.) выполнение электромонтажных работ РСД Екатеринбург\"/>
    </mc:Choice>
  </mc:AlternateContent>
  <xr:revisionPtr revIDLastSave="0" documentId="13_ncr:1_{77F48454-396C-48AB-96E7-80821A32E13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Пр. №2 сметный расчет 1,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2" i="5" l="1"/>
  <c r="I113" i="5"/>
  <c r="I114" i="5"/>
  <c r="I115" i="5"/>
  <c r="I116" i="5"/>
  <c r="F22" i="5"/>
  <c r="I22" i="5" s="1"/>
  <c r="F23" i="5"/>
  <c r="I23" i="5" s="1"/>
  <c r="F24" i="5"/>
  <c r="I24" i="5" s="1"/>
  <c r="H101" i="5" l="1"/>
  <c r="F101" i="5"/>
  <c r="F135" i="5"/>
  <c r="I135" i="5" s="1"/>
  <c r="I136" i="5" s="1"/>
  <c r="H130" i="5"/>
  <c r="H119" i="5"/>
  <c r="H120" i="5"/>
  <c r="H121" i="5"/>
  <c r="H122" i="5"/>
  <c r="H123" i="5"/>
  <c r="H124" i="5"/>
  <c r="H125" i="5"/>
  <c r="H126" i="5"/>
  <c r="H127" i="5"/>
  <c r="H128" i="5"/>
  <c r="H129" i="5"/>
  <c r="H118" i="5"/>
  <c r="F129" i="5"/>
  <c r="H107" i="5"/>
  <c r="H105" i="5"/>
  <c r="H106" i="5"/>
  <c r="H104" i="5"/>
  <c r="H103" i="5"/>
  <c r="F102" i="5"/>
  <c r="H100" i="5"/>
  <c r="H99" i="5"/>
  <c r="H95" i="5"/>
  <c r="H96" i="5"/>
  <c r="H97" i="5"/>
  <c r="H94" i="5"/>
  <c r="H88" i="5"/>
  <c r="F98" i="5"/>
  <c r="F93" i="5"/>
  <c r="H92" i="5"/>
  <c r="H91" i="5" s="1"/>
  <c r="F89" i="5"/>
  <c r="H90" i="5"/>
  <c r="H89" i="5" s="1"/>
  <c r="I89" i="5" s="1"/>
  <c r="H87" i="5"/>
  <c r="H79" i="5"/>
  <c r="H80" i="5"/>
  <c r="F78" i="5"/>
  <c r="H74" i="5"/>
  <c r="H75" i="5"/>
  <c r="H76" i="5"/>
  <c r="H77" i="5"/>
  <c r="F73" i="5"/>
  <c r="F72" i="5"/>
  <c r="H72" i="5"/>
  <c r="I72" i="5" s="1"/>
  <c r="H62" i="5"/>
  <c r="F61" i="5"/>
  <c r="H63" i="5"/>
  <c r="H65" i="5"/>
  <c r="H66" i="5"/>
  <c r="H67" i="5"/>
  <c r="H68" i="5"/>
  <c r="H64" i="5"/>
  <c r="H60" i="5"/>
  <c r="H59" i="5" s="1"/>
  <c r="H51" i="5"/>
  <c r="H50" i="5" s="1"/>
  <c r="I129" i="5" l="1"/>
  <c r="H78" i="5"/>
  <c r="I78" i="5" s="1"/>
  <c r="I101" i="5"/>
  <c r="H98" i="5"/>
  <c r="I98" i="5" s="1"/>
  <c r="H102" i="5"/>
  <c r="I102" i="5" s="1"/>
  <c r="H61" i="5"/>
  <c r="I61" i="5" s="1"/>
  <c r="H93" i="5"/>
  <c r="I93" i="5" s="1"/>
  <c r="H73" i="5"/>
  <c r="I73" i="5" s="1"/>
  <c r="H56" i="5"/>
  <c r="H55" i="5"/>
  <c r="H54" i="5"/>
  <c r="H53" i="5"/>
  <c r="H58" i="5"/>
  <c r="H57" i="5"/>
  <c r="F52" i="5"/>
  <c r="F59" i="5"/>
  <c r="H43" i="5"/>
  <c r="H44" i="5"/>
  <c r="H45" i="5"/>
  <c r="H46" i="5"/>
  <c r="H47" i="5"/>
  <c r="H48" i="5"/>
  <c r="H49" i="5"/>
  <c r="H42" i="5"/>
  <c r="F41" i="5"/>
  <c r="H37" i="5"/>
  <c r="H39" i="5"/>
  <c r="H38" i="5"/>
  <c r="H40" i="5"/>
  <c r="F50" i="5"/>
  <c r="I50" i="5" s="1"/>
  <c r="F36" i="5"/>
  <c r="F32" i="5"/>
  <c r="H41" i="5" l="1"/>
  <c r="I41" i="5" s="1"/>
  <c r="H36" i="5"/>
  <c r="I36" i="5" s="1"/>
  <c r="H52" i="5"/>
  <c r="I52" i="5" s="1"/>
  <c r="I59" i="5"/>
  <c r="H117" i="5"/>
  <c r="F136" i="5"/>
  <c r="F138" i="5"/>
  <c r="F139" i="5" s="1"/>
  <c r="I139" i="5" l="1"/>
  <c r="I138" i="5"/>
  <c r="F128" i="5" l="1"/>
  <c r="I128" i="5" s="1"/>
  <c r="F127" i="5"/>
  <c r="I127" i="5" s="1"/>
  <c r="F130" i="5"/>
  <c r="I130" i="5" s="1"/>
  <c r="F125" i="5"/>
  <c r="I125" i="5" s="1"/>
  <c r="I111" i="5"/>
  <c r="F124" i="5"/>
  <c r="I124" i="5" s="1"/>
  <c r="F120" i="5"/>
  <c r="I120" i="5" s="1"/>
  <c r="F118" i="5"/>
  <c r="I118" i="5" s="1"/>
  <c r="F119" i="5"/>
  <c r="I119" i="5" s="1"/>
  <c r="F82" i="5" l="1"/>
  <c r="H83" i="5"/>
  <c r="H84" i="5"/>
  <c r="H85" i="5"/>
  <c r="H86" i="5"/>
  <c r="H132" i="5"/>
  <c r="F132" i="5"/>
  <c r="F126" i="5"/>
  <c r="I126" i="5" s="1"/>
  <c r="F123" i="5"/>
  <c r="I123" i="5" s="1"/>
  <c r="F122" i="5"/>
  <c r="I122" i="5" s="1"/>
  <c r="F121" i="5"/>
  <c r="I121" i="5" s="1"/>
  <c r="H33" i="5"/>
  <c r="H32" i="5" s="1"/>
  <c r="I32" i="5" s="1"/>
  <c r="F25" i="5"/>
  <c r="I25" i="5" s="1"/>
  <c r="H82" i="5" l="1"/>
  <c r="H34" i="5"/>
  <c r="F117" i="5"/>
  <c r="F91" i="5"/>
  <c r="I91" i="5" s="1"/>
  <c r="I132" i="5"/>
  <c r="I82" i="5" l="1"/>
  <c r="H71" i="5"/>
  <c r="F71" i="5"/>
  <c r="H70" i="5"/>
  <c r="H69" i="5" s="1"/>
  <c r="H108" i="5" s="1"/>
  <c r="F69" i="5"/>
  <c r="F108" i="5" l="1"/>
  <c r="I108" i="5" s="1"/>
  <c r="I117" i="5" s="1"/>
  <c r="H133" i="5"/>
  <c r="F133" i="5" l="1"/>
  <c r="I133" i="5"/>
  <c r="I140" i="5" s="1"/>
  <c r="I141" i="5" s="1"/>
  <c r="I142" i="5" s="1"/>
  <c r="I143" i="5" s="1"/>
  <c r="I69" i="5"/>
  <c r="F31" i="5" l="1"/>
  <c r="I31" i="5" s="1"/>
  <c r="F30" i="5"/>
  <c r="I30" i="5" s="1"/>
  <c r="F29" i="5"/>
  <c r="I29" i="5" s="1"/>
  <c r="F28" i="5"/>
  <c r="I28" i="5" s="1"/>
  <c r="F27" i="5"/>
  <c r="I27" i="5" s="1"/>
  <c r="F26" i="5"/>
  <c r="I26" i="5" s="1"/>
  <c r="I34" i="5" l="1"/>
  <c r="F34" i="5"/>
  <c r="I71" i="5"/>
</calcChain>
</file>

<file path=xl/sharedStrings.xml><?xml version="1.0" encoding="utf-8"?>
<sst xmlns="http://schemas.openxmlformats.org/spreadsheetml/2006/main" count="310" uniqueCount="191">
  <si>
    <t>№ п/п</t>
  </si>
  <si>
    <t>Наименование</t>
  </si>
  <si>
    <t>Ед.изм.</t>
  </si>
  <si>
    <t>Количество</t>
  </si>
  <si>
    <t>м2</t>
  </si>
  <si>
    <t>кг</t>
  </si>
  <si>
    <t>шт</t>
  </si>
  <si>
    <t>Единичная стоимость работы без учета НДС,р</t>
  </si>
  <si>
    <t>Итоговая стоимость работы без учета НДС,р</t>
  </si>
  <si>
    <t>Единичная стоимость материально-технических ресурсов без учета НДС,р</t>
  </si>
  <si>
    <t>Итоговая стоимость материально-технических ресурсов  без учета НДС,р</t>
  </si>
  <si>
    <t>Итого без учета НДС</t>
  </si>
  <si>
    <t>Всего с учетом НДС</t>
  </si>
  <si>
    <t>м/п</t>
  </si>
  <si>
    <t>к-т</t>
  </si>
  <si>
    <t>комп.</t>
  </si>
  <si>
    <t>м</t>
  </si>
  <si>
    <t>Демонтаж выключателей</t>
  </si>
  <si>
    <t xml:space="preserve">Демонтаж розеток </t>
  </si>
  <si>
    <t>Дверные проемы</t>
  </si>
  <si>
    <t>комплект</t>
  </si>
  <si>
    <t>шт.</t>
  </si>
  <si>
    <t xml:space="preserve">Всего, р. Без НДС </t>
  </si>
  <si>
    <t>170.</t>
  </si>
  <si>
    <t>Очистка помещения от строительного мусора, погрузка в мешки, утилизация</t>
  </si>
  <si>
    <t xml:space="preserve">Помещения РСД Екатеринбург -  №16,17,19,20,21,23,24,25 </t>
  </si>
  <si>
    <t xml:space="preserve">Демонтаж светильников на складе </t>
  </si>
  <si>
    <t>Демонтаж светильников в раздевалке</t>
  </si>
  <si>
    <t>Денонтаж светильников с ртутными лампани на пандусе</t>
  </si>
  <si>
    <t xml:space="preserve"> - заполнение стоимости за ед. работ</t>
  </si>
  <si>
    <t>без НДС</t>
  </si>
  <si>
    <t>Стоимость за ед. материалов</t>
  </si>
  <si>
    <t>Демонтаж электро-щитов</t>
  </si>
  <si>
    <t xml:space="preserve">Раздел №1 Электромонтажные работы </t>
  </si>
  <si>
    <t>Итого по разделу демонтажные работы  ЭОМ</t>
  </si>
  <si>
    <t>Демонтаж кабеля от ВРУ до щита</t>
  </si>
  <si>
    <t>Отключение силового электро кабеля от ВРУ сеч. 5*50мм2</t>
  </si>
  <si>
    <t>Демонтаж электропроводки с отключением от автоматов 3*2,5; 3*1,5, 4*1,5 мм2</t>
  </si>
  <si>
    <t>Демонтаж креплений (подвесы, трос)</t>
  </si>
  <si>
    <t xml:space="preserve">Контейнер 20 м3 </t>
  </si>
  <si>
    <t>Демонтаж металлических дверей</t>
  </si>
  <si>
    <t xml:space="preserve">Устройство подвесного потолка 600*600мм Армстронг, цвет по RAL 9016 (белый) (с учетом стоимость подвесной системы, крепежей для тросиков и крепежных элементов индивидуального исполнения к плитам перекрытия ) </t>
  </si>
  <si>
    <t>м3</t>
  </si>
  <si>
    <t>Огрунтовка кирпичных стен склада</t>
  </si>
  <si>
    <t>Покраска кирпичных стен склада водоэммульсионной краской за два раза цвет белый</t>
  </si>
  <si>
    <t xml:space="preserve">Итого по разделу №1 Электромонтажные работы </t>
  </si>
  <si>
    <t>Итого по разделу демонтажные работы АР</t>
  </si>
  <si>
    <t>2. Общестроительные работы АР</t>
  </si>
  <si>
    <t>Демонтаж оконых блоков (раздевалка, зарядная)</t>
  </si>
  <si>
    <t>Демонтаж напольного покрытия из линолеума, раздевалка</t>
  </si>
  <si>
    <t>Демонтаж подвесного потолка, раздевалка</t>
  </si>
  <si>
    <t>Демонтаж плинтуса деревянного , раздевалка</t>
  </si>
  <si>
    <t>Снятие обоев раздевалка, раздевалка</t>
  </si>
  <si>
    <t>Шпатлевка стен, раздевалка</t>
  </si>
  <si>
    <t>Огрунтовка стен проникающей грунтовкой Tikkurila, раздевалка</t>
  </si>
  <si>
    <t>Оклейка стен стеклообоями под покраску (клей обойный, стеклообои), раздевалка</t>
  </si>
  <si>
    <t>Окраска стен за два раза краской: водноэмульсионной краской DULUX TRADE , цвет  бежевый, раздевалка</t>
  </si>
  <si>
    <t>Заделка кирпичных стен кирпичем, склад</t>
  </si>
  <si>
    <t xml:space="preserve">Установка колесоотбойников размером из профильной трубы </t>
  </si>
  <si>
    <t>Установка металлических обойм на колонны из уголка и пластин</t>
  </si>
  <si>
    <t>Зашка проема с двух сторон ГКЛ плитами оконного блока, раздевалка</t>
  </si>
  <si>
    <t>Заделка оконного блока  кирпичем, зарядная</t>
  </si>
  <si>
    <t>Итого по разделу №2 Строительно-монтажные работы АР</t>
  </si>
  <si>
    <t>3. Пуско-наладочные работы</t>
  </si>
  <si>
    <t>Итого по разделу №3</t>
  </si>
  <si>
    <t>4. Исполнительная документация</t>
  </si>
  <si>
    <t>Комплект исполнительной документации по фактически выполненным работам нв бумажном носителе 2 экз. + ( в формате ПДФ, dvgи на лектронном носителе 1 флешка)</t>
  </si>
  <si>
    <t>Итого по разделу №4</t>
  </si>
  <si>
    <t>НДС ___________%</t>
  </si>
  <si>
    <t>Заполнение обязательное- выделено</t>
  </si>
  <si>
    <t>проверка суммы</t>
  </si>
  <si>
    <t>Монтаж щита ЩО2</t>
  </si>
  <si>
    <t xml:space="preserve">Розетка штепсельная розетка 250В, 16А </t>
  </si>
  <si>
    <t>Установка штепсельной розетка  250В, 16А в раздевалке</t>
  </si>
  <si>
    <t>автоматический выключатель 40А, характеристика С, 3Р (City9)SysttmeElectric</t>
  </si>
  <si>
    <t>Прибор учета зл. Энергии 3*230/400В, 5160А, кл.т 10 (Меркурий 236 ART-01PQRS - НПК Инотекс</t>
  </si>
  <si>
    <t>УЗО 63А , ток утечки 300мА, характеристика АС, 3Р+N - SysttmeElectric</t>
  </si>
  <si>
    <t>Установка автоматических выключателей в ЩР</t>
  </si>
  <si>
    <t>автоматический выключатель 25А, характеристика С, 3Р SysttmeElectric</t>
  </si>
  <si>
    <t>автоматический выключатель 25А, характеристика С, 1Р SysttmeElectric</t>
  </si>
  <si>
    <t>автоматический выключатель 13А, характеристика С, 1Р SysttmeElectric</t>
  </si>
  <si>
    <t>автоматический выключатель 10А, характеристика С, 1Р SysttmeElectric</t>
  </si>
  <si>
    <t>автоматический выключатель 6А, характеристика С, 1Р SysttmeElectric</t>
  </si>
  <si>
    <t>диф автомат 16А,  характеристика С, ток утечки 30мА, характеристика  АС, 1Р-N  SysttmeElectric</t>
  </si>
  <si>
    <t>контактор 40А, 4Н0, катушка 220В  SysttmeElectric</t>
  </si>
  <si>
    <t>Монтаж щита ввода и распределения  ЩО1</t>
  </si>
  <si>
    <t xml:space="preserve">Монтаж щита ЩР </t>
  </si>
  <si>
    <t>щит ввода и распределения ЩР (ЩРн-П-48) DKC иеталлический корпус</t>
  </si>
  <si>
    <t>щит ЩО1 металлический корпус ЩРн-П-24 DKC</t>
  </si>
  <si>
    <t>Установка автоматических выключателей в ЩО1</t>
  </si>
  <si>
    <t>автоматический выключатель 20А, характеристика С, 3Р SysttmeElectric</t>
  </si>
  <si>
    <t>УЗО 25А , ток утечки 300мА, характеристика АС, 3Р+N - SysttmeElectric</t>
  </si>
  <si>
    <t>контактор 20А, 2Н0, катушка 220В</t>
  </si>
  <si>
    <t>щит ЩО2 в металлическом корпусе ЩРн-П-12 DKC</t>
  </si>
  <si>
    <t>Установка автоматических выключателей в ЩО2</t>
  </si>
  <si>
    <t>автоматический выключатель 20А, характеристика С, 1Р SysttmeElectric</t>
  </si>
  <si>
    <t>УЗО 25А , ток утечки 300мА, характеристика АС, 1Р+N - SysttmeElectric</t>
  </si>
  <si>
    <t>диф автомат 16А,  характеристика С, ток утечки 30мА, характеристика  АС, 1Р+N  SysttmeElectric</t>
  </si>
  <si>
    <t>диф автомат 10А,  характеристика С, ток утечки 30мА, характеристика  АС, 1Р+N  SysttmeElectric</t>
  </si>
  <si>
    <t>диф автомат 40А,   с ТМD- расцепителем 3Р SysttmeElectric (SYSTEMEPACT CCB100 36KA 3P3D TMD40</t>
  </si>
  <si>
    <t>Установка выключателя одноклавишного, открытой установки. Выключатель одноклавишный, 16А, 230В</t>
  </si>
  <si>
    <t>Установка выключателя двухклавишный, открытой установки. Выключатель одноклавишный, 16А, 230В</t>
  </si>
  <si>
    <t>21</t>
  </si>
  <si>
    <t>LED-светильник ДСП WP 11 С 60W 0Р 865L1500, 6500 К, IP65 Русский свет</t>
  </si>
  <si>
    <t xml:space="preserve">LED-прожектор уличный Wolta WFL-50W/08 50 Вт 5700 К IP65 Wolta </t>
  </si>
  <si>
    <t xml:space="preserve">LED-светильник 600х600 мм, 30 Вт, 4000 К, IP20 </t>
  </si>
  <si>
    <t>Монтаж светильников, установка блоков аварийного питания</t>
  </si>
  <si>
    <t>Блок аварийного питания 60 мин., диапазон нагрузки 0-100 Вт Навигатор ND-EF14</t>
  </si>
  <si>
    <t>Монтаж эвакуационного светильника 4Ит, IP20? АКБ на 60мин. YANTA белый свет</t>
  </si>
  <si>
    <t>эвакуационный светильник с Пиктограммой Е09</t>
  </si>
  <si>
    <t>эвакуационный светильник с Пиктограммой Е22</t>
  </si>
  <si>
    <t>22</t>
  </si>
  <si>
    <t>Кабель контрольный с медными жилами КВВГнг-LS 4х1,5-660  ВВКГнг(А)-LS-0,66 (2% учтено на отходы)</t>
  </si>
  <si>
    <t>Кабель силовой с медными жилами ВВГнг(A)-LS 3х2,5-660 ВВГнг(А)-LS-0,66 (2% учтено на отходы)</t>
  </si>
  <si>
    <t>Кабель силовой с медными жилами ВВГнг(A)-LS 3х1,5-660 ВВГнг(А)-LS-0,66 (2% учтено на отходы)</t>
  </si>
  <si>
    <t>Кабель силовой с медными жилами ВВГнг(A)-LS 3х4-660 ВВГнг(А)-LS-0,66 (2% учтено на отходы)</t>
  </si>
  <si>
    <t>Кабель силовой с медными жилами ВВГнг(A)-LS 5х4-1000 ВВГнг(А)-LS-0,66 (2% учтено на отходы)</t>
  </si>
  <si>
    <t>Кабель силовой с медными жилами ВВГнг(A)-LS 5х16-1000 ВВГнг(А)-LS-0,66 (2% учтено на отходы)</t>
  </si>
  <si>
    <t>Прокладка кабеля с медными жилами с изоляцией жил и оболочки из ПВХ пламтика  пониженной горючести с пониженным газо-дымо выделением ГОСТ 31996-2012 сечением:</t>
  </si>
  <si>
    <t>Прокладка кабеля с медными жилами  термический барьер из слюдосодержащей ленты, изоляция из ПВХ- пластика пониженной пожароопасности , внутренняя оболочка ГОСТ 31996-2012 сечением:</t>
  </si>
  <si>
    <t>Кабель силовой с медными жилами ВВГнг(A)-FRLS 3х1,5ок(N, РЕ)</t>
  </si>
  <si>
    <t>Прокладка проводника заземляющего сечением 4 мм2</t>
  </si>
  <si>
    <t xml:space="preserve">Провод ПуГВнг(А)-LS 1х4 мм2 </t>
  </si>
  <si>
    <t>26</t>
  </si>
  <si>
    <t>Затягивание кабеля в гофро трубу диаметром:</t>
  </si>
  <si>
    <t>клипсы для крепежа гофротрубы  диаметр 25 мм</t>
  </si>
  <si>
    <t>клипсы для крепежа гофротрубы  диаметр 20 мм</t>
  </si>
  <si>
    <t>Трубы из самозатухающего ПВХ гибкие гофрированные, с протяжкой, номинальный внутренний диаметр 20 мм DKC</t>
  </si>
  <si>
    <t>Трубы из самозатухающего ПВХ гибкие гофрированные, с протяжкой, номинальный внутренний диаметр 25 мм DKC</t>
  </si>
  <si>
    <t>27</t>
  </si>
  <si>
    <t>Монтаж коробок распределительных ответвлительных DKC:</t>
  </si>
  <si>
    <t>Коробка ответвительная с кабельными вводами IP44 АБС-пластик D65х35 DKC</t>
  </si>
  <si>
    <t>Коробка ответвительная огнестойкая IP41, КМ-О (4к)-IP41-m Гефест</t>
  </si>
  <si>
    <t>Лоток металлический перфорированный 100х50 мм, L3000 DKC</t>
  </si>
  <si>
    <t>Угол горизонтальный 90°  осн. 100 мм, высотой 50 мм, с метизами DKC</t>
  </si>
  <si>
    <t>Т-образный ответвитель 100х100 мм, высотой 50 мм, с метизами DKC</t>
  </si>
  <si>
    <t>Х-образный ответвитель 100х100 мм, высотой 50 мм, с метизами DKC</t>
  </si>
  <si>
    <t>Угол вертикальный 90°  осн. 100 мм, высотой 50 мм, с метизами DKC</t>
  </si>
  <si>
    <t>Монтаж лотка металлического перфорированного L-3,0м DKC с комплектующими</t>
  </si>
  <si>
    <t>Сверление отверстий диаметром 20, 25 мм</t>
  </si>
  <si>
    <t>Установка  металлической противопожарной двери EI 60 (коробка, полотно, доводчик, замок ключ-ключ) размер по месту</t>
  </si>
  <si>
    <t xml:space="preserve">ПНР (ЭОМ) Измерение сопротивления изоляции (на линию) мегаомметром кабельных и других линий напряжением до 1 кВ, предназначенных для передачи электроэнергии к распределительным устройствам, щитам, шкафам, коммутационным аппаратам и электропотребителям, фазировка щитов, проверка наличия цепи между заземлителями и заземленными элементами, испытание силового кабеля </t>
  </si>
  <si>
    <t xml:space="preserve">Монтаж полозы контура заземления 4*40мм2 с держателем полосы заземления </t>
  </si>
  <si>
    <t>НДС%</t>
  </si>
  <si>
    <t>Технико-коммерческое предложение на выполнение комплекса электромонтажных, строительно-монтажные работ (установка колесо отбойников, косметический ремонт стен, замена дверей на противопожарные) в помещении склада №16,17,19,20,21,23,24,25 
по проекту: РСД Екатеринбург, расположенного по адресу: 
г. Екатеринбург, ул. Артинская, д.12-Б, Литер «П» 1-й этаж</t>
  </si>
  <si>
    <t xml:space="preserve">Наименование Поставщика: </t>
  </si>
  <si>
    <t>(заполняет Претендент)</t>
  </si>
  <si>
    <t>(заполняет Заказчик)</t>
  </si>
  <si>
    <t>Наименование и параметры закупки</t>
  </si>
  <si>
    <t>Требование Заказчика</t>
  </si>
  <si>
    <t xml:space="preserve">В случае если не изготовитель, указать наименование изготовителя </t>
  </si>
  <si>
    <t>ИНН / КПП</t>
  </si>
  <si>
    <t>указать</t>
  </si>
  <si>
    <t>Форма налогообложения</t>
  </si>
  <si>
    <t>указать (УСН, ОСН и т.д.)</t>
  </si>
  <si>
    <t>Ставка НДС</t>
  </si>
  <si>
    <t>указать %</t>
  </si>
  <si>
    <t>Дата подачи предложения</t>
  </si>
  <si>
    <t>Место и условия доставки</t>
  </si>
  <si>
    <t>г. Екатеринбург, ул. Артинская, д.12-Б, Литер «П» 1-й этаж</t>
  </si>
  <si>
    <t xml:space="preserve">Валюта предложения </t>
  </si>
  <si>
    <t>РУБ</t>
  </si>
  <si>
    <t>Срок действия предложения</t>
  </si>
  <si>
    <t>минимум 100 дней с даты подачи предложения</t>
  </si>
  <si>
    <r>
      <t xml:space="preserve">Форма-шаблон Технико-коммерческого предложения
</t>
    </r>
    <r>
      <rPr>
        <i/>
        <sz val="12"/>
        <rFont val="Times New Roman"/>
        <family val="1"/>
        <charset val="204"/>
      </rPr>
      <t xml:space="preserve">(форма адаптируется Заказчиком/
Организатором под конкретную закупку)
</t>
    </r>
    <r>
      <rPr>
        <b/>
        <i/>
        <sz val="12"/>
        <rFont val="Times New Roman"/>
        <family val="1"/>
        <charset val="204"/>
      </rPr>
      <t xml:space="preserve">
</t>
    </r>
  </si>
  <si>
    <t>Демонтажные работы</t>
  </si>
  <si>
    <t>Электромонтажные работы</t>
  </si>
  <si>
    <t>Кабельные и электромонтажные изделия</t>
  </si>
  <si>
    <t xml:space="preserve">Проставляет контрагент </t>
  </si>
  <si>
    <t>Условия оплаты</t>
  </si>
  <si>
    <t>Аванс не более 50%</t>
  </si>
  <si>
    <t>Срок выполнения работ</t>
  </si>
  <si>
    <t>45 календарных дней</t>
  </si>
  <si>
    <t>Гарантия на выполненные работы не менее 12 месяцев</t>
  </si>
  <si>
    <t>Входит в объем поставки, включено в стоимость</t>
  </si>
  <si>
    <t>Подтверждение Претендентом соответствия требованиям Технического задания Заказчика</t>
  </si>
  <si>
    <t>ДА</t>
  </si>
  <si>
    <t>Указать</t>
  </si>
  <si>
    <t>Приложение: Подробное техническое предложение на ___ листах</t>
  </si>
  <si>
    <t>До заключения соответствующего договора в случае признания нас победителем конкурентной процедуры настоящее коммерческое предложение отражает наши обязательства перед Заказчиком.</t>
  </si>
  <si>
    <t>МП</t>
  </si>
  <si>
    <t>(Должность уполномоченного представителя Поставщика)</t>
  </si>
  <si>
    <t>(Подпись)</t>
  </si>
  <si>
    <t>(Ф.И.О.)</t>
  </si>
  <si>
    <t>* Форма технической оценки должна соответствовать форме предусмотренной в Регламенте закупок КОМУС</t>
  </si>
  <si>
    <r>
      <t>Гарантийный период</t>
    </r>
    <r>
      <rPr>
        <sz val="14"/>
        <rFont val="Times New Roman"/>
        <family val="1"/>
        <charset val="204"/>
      </rPr>
      <t xml:space="preserve"> 
(включен в стоимость предложения)</t>
    </r>
  </si>
  <si>
    <r>
      <t xml:space="preserve">Объем предоставляемой документации 
</t>
    </r>
    <r>
      <rPr>
        <sz val="14"/>
        <rFont val="Times New Roman"/>
        <family val="1"/>
        <charset val="204"/>
      </rPr>
      <t>(включая все необходимые сертификаты)</t>
    </r>
  </si>
  <si>
    <r>
      <t xml:space="preserve">Контактное лицо Претендента </t>
    </r>
    <r>
      <rPr>
        <sz val="14"/>
        <rFont val="Times New Roman"/>
        <family val="1"/>
        <charset val="204"/>
      </rPr>
      <t>(должность, e-mail, телефон):</t>
    </r>
  </si>
  <si>
    <t>ИТОГО СТОИМОСТЬ по разделам №1-4</t>
  </si>
  <si>
    <r>
      <t xml:space="preserve">Наименование Претендента </t>
    </r>
    <r>
      <rPr>
        <b/>
        <sz val="16"/>
        <color rgb="FF0000FF"/>
        <rFont val="Times New Roman"/>
        <family val="1"/>
        <charset val="204"/>
      </rPr>
      <t>(заполняет Претендент)</t>
    </r>
  </si>
  <si>
    <r>
      <t xml:space="preserve">Принадлежность поставщика </t>
    </r>
    <r>
      <rPr>
        <sz val="14"/>
        <rFont val="Times New Roman"/>
        <family val="1"/>
        <charset val="204"/>
      </rPr>
      <t>(производитель/ официальный дилер/ посредник/ инжиниринговая компания)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</si>
</sst>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i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2"/>
      <color indexed="12"/>
      <name val="Times New Roman"/>
      <family val="1"/>
      <charset val="204"/>
    </font>
    <font>
      <sz val="12"/>
      <name val="Arial Cyr"/>
      <charset val="204"/>
    </font>
    <font>
      <b/>
      <sz val="12"/>
      <name val="Arial Cyr"/>
      <charset val="204"/>
    </font>
    <font>
      <sz val="12"/>
      <color rgb="FF0000FF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6"/>
      <name val="Times New Roman"/>
      <family val="1"/>
      <charset val="204"/>
    </font>
    <font>
      <sz val="14"/>
      <color theme="1"/>
      <name val="Calibri"/>
      <family val="2"/>
      <scheme val="minor"/>
    </font>
    <font>
      <sz val="14"/>
      <color indexed="12"/>
      <name val="Times New Roman"/>
      <family val="1"/>
      <charset val="204"/>
    </font>
    <font>
      <sz val="14"/>
      <color rgb="FF0000FF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color theme="0"/>
      <name val="Times New Roman"/>
      <family val="1"/>
      <charset val="204"/>
    </font>
    <font>
      <b/>
      <sz val="16"/>
      <color rgb="FF0000FF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5" fillId="0" borderId="0"/>
  </cellStyleXfs>
  <cellXfs count="243">
    <xf numFmtId="0" fontId="0" fillId="0" borderId="0" xfId="0"/>
    <xf numFmtId="4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left" vertic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1" fillId="2" borderId="21" xfId="0" applyNumberFormat="1" applyFont="1" applyFill="1" applyBorder="1" applyAlignment="1">
      <alignment horizontal="center" vertical="center" wrapText="1"/>
    </xf>
    <xf numFmtId="4" fontId="3" fillId="2" borderId="3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wrapText="1"/>
    </xf>
    <xf numFmtId="0" fontId="8" fillId="2" borderId="3" xfId="0" applyFont="1" applyFill="1" applyBorder="1" applyAlignment="1">
      <alignment vertical="center" wrapText="1"/>
    </xf>
    <xf numFmtId="4" fontId="3" fillId="2" borderId="3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7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4" fontId="1" fillId="2" borderId="14" xfId="0" applyNumberFormat="1" applyFont="1" applyFill="1" applyBorder="1" applyAlignment="1">
      <alignment horizontal="center" vertical="center" wrapText="1"/>
    </xf>
    <xf numFmtId="4" fontId="3" fillId="2" borderId="4" xfId="0" applyNumberFormat="1" applyFont="1" applyFill="1" applyBorder="1" applyAlignment="1">
      <alignment horizontal="center" wrapText="1"/>
    </xf>
    <xf numFmtId="4" fontId="3" fillId="2" borderId="15" xfId="0" applyNumberFormat="1" applyFont="1" applyFill="1" applyBorder="1" applyAlignment="1">
      <alignment horizontal="center" wrapText="1"/>
    </xf>
    <xf numFmtId="4" fontId="3" fillId="2" borderId="6" xfId="0" applyNumberFormat="1" applyFont="1" applyFill="1" applyBorder="1" applyAlignment="1">
      <alignment horizontal="center" wrapText="1"/>
    </xf>
    <xf numFmtId="4" fontId="3" fillId="2" borderId="28" xfId="0" applyNumberFormat="1" applyFont="1" applyFill="1" applyBorder="1" applyAlignment="1">
      <alignment horizontal="center" wrapText="1"/>
    </xf>
    <xf numFmtId="4" fontId="1" fillId="2" borderId="0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3" fillId="2" borderId="23" xfId="0" applyNumberFormat="1" applyFont="1" applyFill="1" applyBorder="1" applyAlignment="1">
      <alignment horizontal="center" vertical="top" wrapText="1"/>
    </xf>
    <xf numFmtId="4" fontId="3" fillId="2" borderId="23" xfId="0" applyNumberFormat="1" applyFont="1" applyFill="1" applyBorder="1" applyAlignment="1">
      <alignment horizontal="center" vertical="center" wrapText="1"/>
    </xf>
    <xf numFmtId="4" fontId="1" fillId="2" borderId="9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left" vertical="center" wrapText="1"/>
    </xf>
    <xf numFmtId="4" fontId="3" fillId="2" borderId="2" xfId="0" applyNumberFormat="1" applyFont="1" applyFill="1" applyBorder="1" applyAlignment="1">
      <alignment vertical="center" wrapText="1"/>
    </xf>
    <xf numFmtId="4" fontId="1" fillId="2" borderId="30" xfId="0" applyNumberFormat="1" applyFont="1" applyFill="1" applyBorder="1" applyAlignment="1">
      <alignment horizontal="center" vertical="center" wrapText="1"/>
    </xf>
    <xf numFmtId="4" fontId="1" fillId="2" borderId="35" xfId="0" applyNumberFormat="1" applyFont="1" applyFill="1" applyBorder="1" applyAlignment="1">
      <alignment horizontal="center" vertical="center" wrapText="1"/>
    </xf>
    <xf numFmtId="4" fontId="1" fillId="2" borderId="37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1" fillId="5" borderId="2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5" borderId="3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" fontId="7" fillId="5" borderId="3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vertical="center" wrapText="1"/>
    </xf>
    <xf numFmtId="4" fontId="10" fillId="2" borderId="2" xfId="0" applyNumberFormat="1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 wrapText="1"/>
    </xf>
    <xf numFmtId="4" fontId="1" fillId="2" borderId="40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left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left" vertical="center" wrapText="1"/>
    </xf>
    <xf numFmtId="49" fontId="3" fillId="2" borderId="23" xfId="0" applyNumberFormat="1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top" wrapText="1"/>
    </xf>
    <xf numFmtId="4" fontId="1" fillId="2" borderId="0" xfId="0" applyNumberFormat="1" applyFont="1" applyFill="1" applyBorder="1" applyAlignment="1">
      <alignment horizontal="right" wrapText="1"/>
    </xf>
    <xf numFmtId="49" fontId="11" fillId="0" borderId="20" xfId="0" applyNumberFormat="1" applyFont="1" applyBorder="1" applyAlignment="1">
      <alignment horizontal="center" vertical="top"/>
    </xf>
    <xf numFmtId="49" fontId="11" fillId="0" borderId="39" xfId="0" applyNumberFormat="1" applyFont="1" applyBorder="1" applyAlignment="1">
      <alignment horizontal="center" vertical="top"/>
    </xf>
    <xf numFmtId="49" fontId="11" fillId="0" borderId="23" xfId="0" applyNumberFormat="1" applyFont="1" applyBorder="1" applyAlignment="1">
      <alignment horizontal="center" vertical="top"/>
    </xf>
    <xf numFmtId="49" fontId="11" fillId="0" borderId="20" xfId="0" applyNumberFormat="1" applyFont="1" applyBorder="1" applyAlignment="1">
      <alignment horizontal="center" vertical="top" wrapText="1"/>
    </xf>
    <xf numFmtId="49" fontId="11" fillId="0" borderId="39" xfId="0" applyNumberFormat="1" applyFont="1" applyBorder="1" applyAlignment="1">
      <alignment horizontal="center" vertical="top" wrapText="1"/>
    </xf>
    <xf numFmtId="49" fontId="11" fillId="0" borderId="23" xfId="0" applyNumberFormat="1" applyFont="1" applyBorder="1" applyAlignment="1">
      <alignment horizontal="center" vertical="top" wrapText="1"/>
    </xf>
    <xf numFmtId="49" fontId="3" fillId="2" borderId="20" xfId="0" applyNumberFormat="1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4" fontId="1" fillId="2" borderId="17" xfId="0" applyNumberFormat="1" applyFont="1" applyFill="1" applyBorder="1" applyAlignment="1">
      <alignment horizontal="left" vertical="center" wrapText="1"/>
    </xf>
    <xf numFmtId="4" fontId="1" fillId="2" borderId="18" xfId="0" applyNumberFormat="1" applyFont="1" applyFill="1" applyBorder="1" applyAlignment="1">
      <alignment horizontal="left" vertical="center" wrapText="1"/>
    </xf>
    <xf numFmtId="4" fontId="1" fillId="2" borderId="20" xfId="0" applyNumberFormat="1" applyFont="1" applyFill="1" applyBorder="1" applyAlignment="1">
      <alignment horizontal="left" vertical="center" wrapText="1"/>
    </xf>
    <xf numFmtId="4" fontId="1" fillId="2" borderId="2" xfId="0" applyNumberFormat="1" applyFont="1" applyFill="1" applyBorder="1" applyAlignment="1">
      <alignment horizontal="left" vertical="center" wrapText="1"/>
    </xf>
    <xf numFmtId="4" fontId="1" fillId="2" borderId="9" xfId="0" applyNumberFormat="1" applyFont="1" applyFill="1" applyBorder="1" applyAlignment="1">
      <alignment horizontal="center" vertical="center" wrapText="1"/>
    </xf>
    <xf numFmtId="4" fontId="1" fillId="2" borderId="12" xfId="0" applyNumberFormat="1" applyFont="1" applyFill="1" applyBorder="1" applyAlignment="1">
      <alignment horizontal="center" vertical="center" wrapText="1"/>
    </xf>
    <xf numFmtId="4" fontId="1" fillId="2" borderId="10" xfId="0" applyNumberFormat="1" applyFont="1" applyFill="1" applyBorder="1" applyAlignment="1">
      <alignment horizontal="center" vertical="center" wrapText="1"/>
    </xf>
    <xf numFmtId="4" fontId="1" fillId="2" borderId="13" xfId="0" applyNumberFormat="1" applyFont="1" applyFill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right" wrapText="1"/>
    </xf>
    <xf numFmtId="4" fontId="1" fillId="2" borderId="38" xfId="0" applyNumberFormat="1" applyFont="1" applyFill="1" applyBorder="1" applyAlignment="1">
      <alignment horizontal="right" wrapText="1"/>
    </xf>
    <xf numFmtId="4" fontId="1" fillId="2" borderId="1" xfId="0" applyNumberFormat="1" applyFont="1" applyFill="1" applyBorder="1" applyAlignment="1">
      <alignment horizontal="right" wrapText="1"/>
    </xf>
    <xf numFmtId="4" fontId="1" fillId="2" borderId="34" xfId="0" applyNumberFormat="1" applyFont="1" applyFill="1" applyBorder="1" applyAlignment="1">
      <alignment horizontal="right" wrapText="1"/>
    </xf>
    <xf numFmtId="4" fontId="1" fillId="2" borderId="7" xfId="0" applyNumberFormat="1" applyFont="1" applyFill="1" applyBorder="1" applyAlignment="1">
      <alignment horizontal="right" wrapText="1"/>
    </xf>
    <xf numFmtId="4" fontId="1" fillId="2" borderId="24" xfId="0" applyNumberFormat="1" applyFont="1" applyFill="1" applyBorder="1" applyAlignment="1">
      <alignment horizontal="right" wrapText="1"/>
    </xf>
    <xf numFmtId="4" fontId="1" fillId="2" borderId="8" xfId="0" applyNumberFormat="1" applyFont="1" applyFill="1" applyBorder="1" applyAlignment="1">
      <alignment horizontal="left" vertical="center" wrapText="1"/>
    </xf>
    <xf numFmtId="4" fontId="1" fillId="2" borderId="9" xfId="0" applyNumberFormat="1" applyFont="1" applyFill="1" applyBorder="1" applyAlignment="1">
      <alignment horizontal="left" vertical="center" wrapText="1"/>
    </xf>
    <xf numFmtId="49" fontId="3" fillId="2" borderId="15" xfId="0" applyNumberFormat="1" applyFont="1" applyFill="1" applyBorder="1" applyAlignment="1">
      <alignment horizontal="center" vertical="top" wrapText="1"/>
    </xf>
    <xf numFmtId="49" fontId="8" fillId="2" borderId="20" xfId="0" applyNumberFormat="1" applyFont="1" applyFill="1" applyBorder="1" applyAlignment="1">
      <alignment horizontal="center" vertical="top" wrapText="1"/>
    </xf>
    <xf numFmtId="49" fontId="3" fillId="2" borderId="20" xfId="0" applyNumberFormat="1" applyFont="1" applyFill="1" applyBorder="1" applyAlignment="1">
      <alignment horizontal="center" vertical="center"/>
    </xf>
    <xf numFmtId="49" fontId="11" fillId="0" borderId="23" xfId="0" applyNumberFormat="1" applyFont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top"/>
    </xf>
    <xf numFmtId="0" fontId="11" fillId="0" borderId="39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49" fontId="3" fillId="2" borderId="39" xfId="0" applyNumberFormat="1" applyFont="1" applyFill="1" applyBorder="1" applyAlignment="1">
      <alignment horizontal="center" vertical="top"/>
    </xf>
    <xf numFmtId="0" fontId="0" fillId="0" borderId="23" xfId="0" applyBorder="1" applyAlignment="1">
      <alignment horizontal="center" wrapText="1"/>
    </xf>
    <xf numFmtId="49" fontId="0" fillId="0" borderId="23" xfId="0" applyNumberFormat="1" applyBorder="1" applyAlignment="1">
      <alignment horizontal="center" vertical="top" wrapText="1"/>
    </xf>
    <xf numFmtId="0" fontId="12" fillId="0" borderId="0" xfId="2" applyFont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justify"/>
    </xf>
    <xf numFmtId="0" fontId="16" fillId="0" borderId="0" xfId="2" applyFont="1" applyAlignment="1">
      <alignment horizontal="center" wrapText="1"/>
    </xf>
    <xf numFmtId="4" fontId="6" fillId="2" borderId="36" xfId="0" applyNumberFormat="1" applyFont="1" applyFill="1" applyBorder="1" applyAlignment="1">
      <alignment horizontal="center" vertical="center" wrapText="1"/>
    </xf>
    <xf numFmtId="4" fontId="6" fillId="2" borderId="35" xfId="0" applyNumberFormat="1" applyFont="1" applyFill="1" applyBorder="1" applyAlignment="1">
      <alignment horizontal="center" vertical="center" wrapText="1"/>
    </xf>
    <xf numFmtId="4" fontId="5" fillId="2" borderId="36" xfId="0" applyNumberFormat="1" applyFont="1" applyFill="1" applyBorder="1" applyAlignment="1">
      <alignment horizontal="center" vertical="center" wrapText="1"/>
    </xf>
    <xf numFmtId="4" fontId="5" fillId="2" borderId="35" xfId="0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/>
    </xf>
    <xf numFmtId="0" fontId="17" fillId="0" borderId="0" xfId="2" applyFont="1"/>
    <xf numFmtId="0" fontId="18" fillId="0" borderId="0" xfId="2" applyFont="1"/>
    <xf numFmtId="14" fontId="17" fillId="0" borderId="0" xfId="2" applyNumberFormat="1" applyFont="1"/>
    <xf numFmtId="0" fontId="10" fillId="0" borderId="0" xfId="2" applyFont="1" applyAlignment="1">
      <alignment horizontal="center" vertical="center" wrapText="1"/>
    </xf>
    <xf numFmtId="0" fontId="3" fillId="0" borderId="0" xfId="2" applyFont="1"/>
    <xf numFmtId="0" fontId="1" fillId="0" borderId="43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 wrapText="1"/>
    </xf>
    <xf numFmtId="14" fontId="19" fillId="7" borderId="1" xfId="2" applyNumberFormat="1" applyFont="1" applyFill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14" fontId="19" fillId="0" borderId="1" xfId="2" applyNumberFormat="1" applyFont="1" applyBorder="1" applyAlignment="1">
      <alignment horizontal="center" vertical="center" wrapText="1"/>
    </xf>
    <xf numFmtId="49" fontId="19" fillId="0" borderId="1" xfId="2" applyNumberFormat="1" applyFont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/>
    </xf>
    <xf numFmtId="14" fontId="19" fillId="0" borderId="2" xfId="2" applyNumberFormat="1" applyFont="1" applyBorder="1" applyAlignment="1">
      <alignment horizontal="center" vertical="center" wrapText="1"/>
    </xf>
    <xf numFmtId="14" fontId="19" fillId="7" borderId="2" xfId="2" applyNumberFormat="1" applyFont="1" applyFill="1" applyBorder="1" applyAlignment="1">
      <alignment horizontal="center" vertical="center"/>
    </xf>
    <xf numFmtId="0" fontId="0" fillId="0" borderId="47" xfId="0" applyBorder="1" applyAlignment="1"/>
    <xf numFmtId="0" fontId="2" fillId="0" borderId="0" xfId="2" applyFont="1" applyAlignment="1">
      <alignment horizontal="center" vertical="top"/>
    </xf>
    <xf numFmtId="0" fontId="16" fillId="0" borderId="0" xfId="2" applyFont="1" applyAlignment="1">
      <alignment horizontal="left" vertical="top" wrapText="1"/>
    </xf>
    <xf numFmtId="0" fontId="2" fillId="0" borderId="0" xfId="2" applyFont="1" applyAlignment="1">
      <alignment horizontal="center" vertical="top"/>
    </xf>
    <xf numFmtId="0" fontId="0" fillId="0" borderId="35" xfId="0" applyBorder="1" applyAlignment="1"/>
    <xf numFmtId="0" fontId="0" fillId="0" borderId="37" xfId="0" applyBorder="1" applyAlignment="1"/>
    <xf numFmtId="4" fontId="1" fillId="2" borderId="25" xfId="0" applyNumberFormat="1" applyFont="1" applyFill="1" applyBorder="1" applyAlignment="1">
      <alignment horizontal="center" vertical="center" wrapText="1"/>
    </xf>
    <xf numFmtId="4" fontId="1" fillId="2" borderId="31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21" fillId="0" borderId="26" xfId="0" applyFont="1" applyBorder="1" applyAlignment="1"/>
    <xf numFmtId="0" fontId="21" fillId="0" borderId="27" xfId="0" applyFont="1" applyBorder="1" applyAlignment="1"/>
    <xf numFmtId="0" fontId="21" fillId="0" borderId="32" xfId="0" applyFont="1" applyBorder="1" applyAlignment="1"/>
    <xf numFmtId="0" fontId="21" fillId="0" borderId="33" xfId="0" applyFont="1" applyBorder="1" applyAlignment="1"/>
    <xf numFmtId="4" fontId="3" fillId="2" borderId="3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6" xfId="0" applyBorder="1" applyAlignment="1"/>
    <xf numFmtId="4" fontId="3" fillId="2" borderId="50" xfId="0" applyNumberFormat="1" applyFont="1" applyFill="1" applyBorder="1" applyAlignment="1">
      <alignment horizontal="center" vertical="center" wrapText="1"/>
    </xf>
    <xf numFmtId="0" fontId="0" fillId="0" borderId="42" xfId="0" applyBorder="1" applyAlignment="1"/>
    <xf numFmtId="0" fontId="0" fillId="0" borderId="51" xfId="0" applyBorder="1" applyAlignment="1"/>
    <xf numFmtId="4" fontId="3" fillId="2" borderId="21" xfId="0" applyNumberFormat="1" applyFont="1" applyFill="1" applyBorder="1" applyAlignment="1">
      <alignment horizontal="center" vertical="center" wrapText="1"/>
    </xf>
    <xf numFmtId="4" fontId="3" fillId="2" borderId="24" xfId="0" applyNumberFormat="1" applyFont="1" applyFill="1" applyBorder="1" applyAlignment="1">
      <alignment horizontal="center" vertical="center" wrapText="1"/>
    </xf>
    <xf numFmtId="0" fontId="0" fillId="0" borderId="52" xfId="0" applyBorder="1" applyAlignment="1"/>
    <xf numFmtId="0" fontId="0" fillId="0" borderId="53" xfId="0" applyBorder="1" applyAlignment="1"/>
    <xf numFmtId="4" fontId="1" fillId="4" borderId="36" xfId="0" applyNumberFormat="1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left" vertical="center"/>
    </xf>
    <xf numFmtId="4" fontId="2" fillId="2" borderId="3" xfId="0" applyNumberFormat="1" applyFont="1" applyFill="1" applyBorder="1" applyAlignment="1">
      <alignment horizontal="center" vertical="center" wrapText="1"/>
    </xf>
    <xf numFmtId="4" fontId="1" fillId="2" borderId="36" xfId="0" applyNumberFormat="1" applyFont="1" applyFill="1" applyBorder="1" applyAlignment="1">
      <alignment horizontal="center" vertical="center" wrapText="1"/>
    </xf>
    <xf numFmtId="4" fontId="1" fillId="2" borderId="35" xfId="0" applyNumberFormat="1" applyFont="1" applyFill="1" applyBorder="1" applyAlignment="1">
      <alignment horizontal="center" vertical="center" wrapText="1"/>
    </xf>
    <xf numFmtId="0" fontId="0" fillId="0" borderId="48" xfId="0" applyBorder="1" applyAlignment="1"/>
    <xf numFmtId="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4" fontId="2" fillId="2" borderId="2" xfId="0" applyNumberFormat="1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49" fontId="3" fillId="2" borderId="39" xfId="0" applyNumberFormat="1" applyFont="1" applyFill="1" applyBorder="1" applyAlignment="1">
      <alignment horizontal="center" vertical="top" wrapText="1"/>
    </xf>
    <xf numFmtId="4" fontId="1" fillId="2" borderId="3" xfId="0" applyNumberFormat="1" applyFont="1" applyFill="1" applyBorder="1" applyAlignment="1">
      <alignment horizontal="left" vertical="center" wrapText="1"/>
    </xf>
    <xf numFmtId="49" fontId="13" fillId="0" borderId="36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49" fontId="3" fillId="2" borderId="20" xfId="0" applyNumberFormat="1" applyFont="1" applyFill="1" applyBorder="1" applyAlignment="1">
      <alignment horizontal="center" vertical="center" wrapText="1"/>
    </xf>
    <xf numFmtId="4" fontId="3" fillId="2" borderId="49" xfId="0" applyNumberFormat="1" applyFont="1" applyFill="1" applyBorder="1" applyAlignment="1">
      <alignment horizontal="center" vertical="center" wrapText="1"/>
    </xf>
    <xf numFmtId="0" fontId="0" fillId="0" borderId="49" xfId="0" applyBorder="1" applyAlignment="1"/>
    <xf numFmtId="0" fontId="7" fillId="2" borderId="35" xfId="0" applyFont="1" applyFill="1" applyBorder="1" applyAlignment="1">
      <alignment wrapText="1"/>
    </xf>
    <xf numFmtId="4" fontId="3" fillId="2" borderId="36" xfId="0" applyNumberFormat="1" applyFont="1" applyFill="1" applyBorder="1" applyAlignment="1">
      <alignment horizontal="center" vertical="center" wrapText="1"/>
    </xf>
    <xf numFmtId="4" fontId="3" fillId="5" borderId="36" xfId="0" applyNumberFormat="1" applyFont="1" applyFill="1" applyBorder="1" applyAlignment="1">
      <alignment horizontal="center" vertical="center" wrapText="1"/>
    </xf>
    <xf numFmtId="4" fontId="1" fillId="2" borderId="25" xfId="0" applyNumberFormat="1" applyFont="1" applyFill="1" applyBorder="1" applyAlignment="1">
      <alignment horizontal="right" wrapText="1"/>
    </xf>
    <xf numFmtId="4" fontId="1" fillId="2" borderId="26" xfId="0" applyNumberFormat="1" applyFont="1" applyFill="1" applyBorder="1" applyAlignment="1">
      <alignment horizontal="right" wrapText="1"/>
    </xf>
    <xf numFmtId="4" fontId="1" fillId="2" borderId="28" xfId="0" applyNumberFormat="1" applyFont="1" applyFill="1" applyBorder="1" applyAlignment="1">
      <alignment horizontal="right" wrapText="1"/>
    </xf>
    <xf numFmtId="4" fontId="1" fillId="2" borderId="29" xfId="0" applyNumberFormat="1" applyFont="1" applyFill="1" applyBorder="1" applyAlignment="1">
      <alignment horizontal="right" wrapText="1"/>
    </xf>
    <xf numFmtId="4" fontId="1" fillId="2" borderId="31" xfId="0" applyNumberFormat="1" applyFont="1" applyFill="1" applyBorder="1" applyAlignment="1">
      <alignment horizontal="right" wrapText="1"/>
    </xf>
    <xf numFmtId="4" fontId="1" fillId="2" borderId="32" xfId="0" applyNumberFormat="1" applyFont="1" applyFill="1" applyBorder="1" applyAlignment="1">
      <alignment horizontal="right" wrapText="1"/>
    </xf>
    <xf numFmtId="4" fontId="1" fillId="5" borderId="36" xfId="0" applyNumberFormat="1" applyFont="1" applyFill="1" applyBorder="1" applyAlignment="1">
      <alignment horizontal="right" wrapText="1"/>
    </xf>
    <xf numFmtId="4" fontId="1" fillId="2" borderId="35" xfId="0" applyNumberFormat="1" applyFont="1" applyFill="1" applyBorder="1" applyAlignment="1">
      <alignment horizontal="right" wrapText="1"/>
    </xf>
    <xf numFmtId="0" fontId="0" fillId="0" borderId="35" xfId="0" applyBorder="1" applyAlignment="1">
      <alignment horizontal="right" wrapText="1"/>
    </xf>
    <xf numFmtId="0" fontId="0" fillId="0" borderId="37" xfId="0" applyBorder="1" applyAlignment="1">
      <alignment horizontal="right" wrapText="1"/>
    </xf>
    <xf numFmtId="4" fontId="1" fillId="3" borderId="36" xfId="0" applyNumberFormat="1" applyFont="1" applyFill="1" applyBorder="1" applyAlignment="1">
      <alignment horizontal="right" wrapText="1"/>
    </xf>
    <xf numFmtId="4" fontId="1" fillId="4" borderId="36" xfId="0" applyNumberFormat="1" applyFont="1" applyFill="1" applyBorder="1" applyAlignment="1">
      <alignment horizontal="right" wrapText="1"/>
    </xf>
    <xf numFmtId="4" fontId="1" fillId="3" borderId="36" xfId="0" applyNumberFormat="1" applyFont="1" applyFill="1" applyBorder="1" applyAlignment="1">
      <alignment horizontal="center" vertical="center" wrapText="1"/>
    </xf>
    <xf numFmtId="0" fontId="6" fillId="0" borderId="3" xfId="2" applyFont="1" applyBorder="1" applyAlignment="1">
      <alignment horizontal="left" vertical="center"/>
    </xf>
    <xf numFmtId="0" fontId="24" fillId="0" borderId="3" xfId="2" applyFont="1" applyBorder="1" applyAlignment="1">
      <alignment horizontal="center" vertical="center" wrapText="1"/>
    </xf>
    <xf numFmtId="0" fontId="25" fillId="7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/>
    </xf>
    <xf numFmtId="0" fontId="24" fillId="2" borderId="1" xfId="2" applyFont="1" applyFill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12" fillId="0" borderId="0" xfId="2" applyFont="1" applyAlignment="1">
      <alignment horizontal="center"/>
    </xf>
    <xf numFmtId="0" fontId="12" fillId="0" borderId="42" xfId="2" applyFont="1" applyBorder="1"/>
    <xf numFmtId="0" fontId="24" fillId="0" borderId="0" xfId="2" applyFont="1" applyAlignment="1">
      <alignment wrapText="1"/>
    </xf>
    <xf numFmtId="0" fontId="6" fillId="0" borderId="0" xfId="2" applyFont="1"/>
    <xf numFmtId="4" fontId="1" fillId="8" borderId="36" xfId="0" applyNumberFormat="1" applyFont="1" applyFill="1" applyBorder="1" applyAlignment="1">
      <alignment horizontal="left" vertical="center" wrapText="1"/>
    </xf>
    <xf numFmtId="4" fontId="1" fillId="8" borderId="35" xfId="0" applyNumberFormat="1" applyFont="1" applyFill="1" applyBorder="1" applyAlignment="1">
      <alignment horizontal="left" vertical="center" wrapText="1"/>
    </xf>
    <xf numFmtId="4" fontId="1" fillId="8" borderId="37" xfId="0" applyNumberFormat="1" applyFont="1" applyFill="1" applyBorder="1" applyAlignment="1">
      <alignment horizontal="left" vertical="center" wrapText="1"/>
    </xf>
    <xf numFmtId="4" fontId="1" fillId="8" borderId="36" xfId="0" applyNumberFormat="1" applyFont="1" applyFill="1" applyBorder="1" applyAlignment="1">
      <alignment horizontal="center" vertical="center" wrapText="1"/>
    </xf>
    <xf numFmtId="0" fontId="0" fillId="8" borderId="35" xfId="0" applyFill="1" applyBorder="1" applyAlignment="1"/>
    <xf numFmtId="0" fontId="0" fillId="8" borderId="37" xfId="0" applyFill="1" applyBorder="1" applyAlignment="1"/>
    <xf numFmtId="0" fontId="6" fillId="0" borderId="0" xfId="2" applyFont="1" applyBorder="1" applyAlignment="1">
      <alignment horizontal="left" vertical="center"/>
    </xf>
    <xf numFmtId="0" fontId="6" fillId="0" borderId="23" xfId="2" applyFont="1" applyBorder="1" applyAlignment="1">
      <alignment horizontal="center" vertical="center"/>
    </xf>
    <xf numFmtId="0" fontId="25" fillId="7" borderId="16" xfId="2" applyFont="1" applyFill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 wrapText="1"/>
    </xf>
    <xf numFmtId="0" fontId="25" fillId="0" borderId="7" xfId="2" applyFont="1" applyBorder="1" applyAlignment="1">
      <alignment horizontal="center" vertical="center" wrapText="1"/>
    </xf>
    <xf numFmtId="0" fontId="25" fillId="7" borderId="7" xfId="2" applyFont="1" applyFill="1" applyBorder="1" applyAlignment="1">
      <alignment horizontal="center" vertical="center" wrapText="1"/>
    </xf>
    <xf numFmtId="0" fontId="25" fillId="7" borderId="54" xfId="2" applyFont="1" applyFill="1" applyBorder="1" applyAlignment="1">
      <alignment horizontal="center" vertical="center" wrapText="1"/>
    </xf>
    <xf numFmtId="0" fontId="12" fillId="0" borderId="0" xfId="2" applyFont="1" applyAlignment="1">
      <alignment horizontal="left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0" fontId="12" fillId="0" borderId="0" xfId="2" applyFont="1" applyAlignment="1">
      <alignment horizontal="left" wrapText="1"/>
    </xf>
    <xf numFmtId="0" fontId="4" fillId="2" borderId="42" xfId="0" applyFont="1" applyFill="1" applyBorder="1"/>
    <xf numFmtId="0" fontId="12" fillId="0" borderId="47" xfId="2" applyFont="1" applyBorder="1" applyAlignment="1">
      <alignment horizontal="center"/>
    </xf>
    <xf numFmtId="4" fontId="3" fillId="2" borderId="25" xfId="0" applyNumberFormat="1" applyFont="1" applyFill="1" applyBorder="1" applyAlignment="1">
      <alignment horizontal="center" wrapText="1"/>
    </xf>
    <xf numFmtId="0" fontId="4" fillId="2" borderId="0" xfId="0" applyFont="1" applyFill="1" applyBorder="1"/>
    <xf numFmtId="0" fontId="4" fillId="2" borderId="29" xfId="0" applyFont="1" applyFill="1" applyBorder="1"/>
    <xf numFmtId="4" fontId="3" fillId="2" borderId="31" xfId="0" applyNumberFormat="1" applyFont="1" applyFill="1" applyBorder="1" applyAlignment="1">
      <alignment horizontal="center" wrapText="1"/>
    </xf>
    <xf numFmtId="4" fontId="1" fillId="2" borderId="32" xfId="0" applyNumberFormat="1" applyFont="1" applyFill="1" applyBorder="1" applyAlignment="1">
      <alignment horizontal="center" vertical="center" wrapText="1"/>
    </xf>
    <xf numFmtId="0" fontId="4" fillId="2" borderId="32" xfId="0" applyFont="1" applyFill="1" applyBorder="1"/>
    <xf numFmtId="0" fontId="4" fillId="2" borderId="33" xfId="0" applyFont="1" applyFill="1" applyBorder="1"/>
    <xf numFmtId="0" fontId="0" fillId="0" borderId="26" xfId="0" applyBorder="1" applyAlignment="1">
      <alignment horizontal="right" wrapText="1"/>
    </xf>
    <xf numFmtId="0" fontId="0" fillId="0" borderId="27" xfId="0" applyBorder="1" applyAlignment="1">
      <alignment horizontal="right" wrapText="1"/>
    </xf>
    <xf numFmtId="0" fontId="25" fillId="7" borderId="3" xfId="2" applyFont="1" applyFill="1" applyBorder="1" applyAlignment="1">
      <alignment horizontal="center" vertical="center"/>
    </xf>
    <xf numFmtId="0" fontId="25" fillId="7" borderId="22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0" fontId="5" fillId="0" borderId="25" xfId="2" applyFont="1" applyBorder="1" applyAlignment="1">
      <alignment horizontal="center" vertical="center" wrapText="1"/>
    </xf>
    <xf numFmtId="0" fontId="22" fillId="0" borderId="26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 vertical="center" wrapText="1"/>
    </xf>
    <xf numFmtId="0" fontId="26" fillId="0" borderId="31" xfId="0" applyFont="1" applyBorder="1" applyAlignment="1">
      <alignment wrapText="1"/>
    </xf>
    <xf numFmtId="0" fontId="26" fillId="0" borderId="32" xfId="0" applyFont="1" applyBorder="1" applyAlignment="1">
      <alignment wrapText="1"/>
    </xf>
    <xf numFmtId="0" fontId="26" fillId="0" borderId="33" xfId="0" applyFont="1" applyBorder="1" applyAlignment="1">
      <alignment wrapText="1"/>
    </xf>
    <xf numFmtId="0" fontId="20" fillId="0" borderId="0" xfId="2" applyFont="1" applyBorder="1" applyAlignment="1">
      <alignment horizontal="center" wrapText="1"/>
    </xf>
    <xf numFmtId="14" fontId="19" fillId="7" borderId="3" xfId="2" applyNumberFormat="1" applyFont="1" applyFill="1" applyBorder="1" applyAlignment="1">
      <alignment horizontal="center" vertical="center"/>
    </xf>
    <xf numFmtId="0" fontId="27" fillId="6" borderId="17" xfId="2" applyFont="1" applyFill="1" applyBorder="1" applyAlignment="1">
      <alignment horizontal="center" vertical="center" wrapText="1"/>
    </xf>
    <xf numFmtId="0" fontId="27" fillId="6" borderId="18" xfId="2" applyFont="1" applyFill="1" applyBorder="1" applyAlignment="1">
      <alignment horizontal="center" vertical="center" wrapText="1"/>
    </xf>
    <xf numFmtId="0" fontId="27" fillId="6" borderId="19" xfId="2" applyFont="1" applyFill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top" wrapText="1"/>
    </xf>
    <xf numFmtId="0" fontId="1" fillId="6" borderId="17" xfId="2" applyFont="1" applyFill="1" applyBorder="1" applyAlignment="1">
      <alignment horizontal="center" vertical="center" wrapText="1"/>
    </xf>
    <xf numFmtId="0" fontId="27" fillId="6" borderId="18" xfId="2" applyFont="1" applyFill="1" applyBorder="1" applyAlignment="1">
      <alignment horizontal="center" vertical="center"/>
    </xf>
    <xf numFmtId="0" fontId="27" fillId="6" borderId="19" xfId="2" applyFont="1" applyFill="1" applyBorder="1" applyAlignment="1">
      <alignment horizontal="center" vertical="center" wrapText="1"/>
    </xf>
    <xf numFmtId="0" fontId="6" fillId="0" borderId="3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12" fillId="0" borderId="0" xfId="2" applyFont="1" applyAlignment="1">
      <alignment horizontal="left"/>
    </xf>
    <xf numFmtId="0" fontId="25" fillId="0" borderId="42" xfId="2" applyFont="1" applyBorder="1" applyAlignment="1">
      <alignment horizontal="center" vertical="center"/>
    </xf>
    <xf numFmtId="0" fontId="23" fillId="0" borderId="42" xfId="0" applyFont="1" applyBorder="1" applyAlignment="1"/>
    <xf numFmtId="0" fontId="29" fillId="0" borderId="0" xfId="0" applyFont="1" applyBorder="1" applyAlignment="1">
      <alignment horizontal="center" wrapText="1"/>
    </xf>
  </cellXfs>
  <cellStyles count="3">
    <cellStyle name="Обычный" xfId="0" builtinId="0"/>
    <cellStyle name="Обычный 10" xfId="1" xr:uid="{85D70833-3B4B-474A-AE49-99C7F9A44E81}"/>
    <cellStyle name="Обычный 3" xfId="2" xr:uid="{DBB4DE7D-5FF3-47EA-9FB3-75CD1C3CEDF0}"/>
  </cellStyles>
  <dxfs count="0"/>
  <tableStyles count="0" defaultTableStyle="TableStyleMedium2" defaultPivotStyle="PivotStyleLight16"/>
  <colors>
    <mruColors>
      <color rgb="FFFDD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51AF-060B-4041-ADD5-8A3161B2D7E9}">
  <dimension ref="A1:O163"/>
  <sheetViews>
    <sheetView tabSelected="1" topLeftCell="A76" zoomScale="70" zoomScaleNormal="70" workbookViewId="0">
      <selection activeCell="S11" sqref="S11"/>
    </sheetView>
  </sheetViews>
  <sheetFormatPr defaultColWidth="8.90625" defaultRowHeight="15.5" outlineLevelRow="1" x14ac:dyDescent="0.35"/>
  <cols>
    <col min="1" max="1" width="6.36328125" style="18" customWidth="1"/>
    <col min="2" max="2" width="53.90625" style="17" customWidth="1"/>
    <col min="3" max="3" width="12.6328125" style="18" customWidth="1"/>
    <col min="4" max="7" width="12.6328125" style="16" customWidth="1"/>
    <col min="8" max="8" width="25.6328125" style="16" customWidth="1"/>
    <col min="9" max="9" width="0.81640625" style="16" customWidth="1"/>
    <col min="10" max="10" width="8.90625" style="14"/>
    <col min="11" max="11" width="8.7265625" style="14" customWidth="1"/>
    <col min="12" max="13" width="7.81640625" style="14" customWidth="1"/>
    <col min="14" max="16384" width="8.90625" style="14"/>
  </cols>
  <sheetData>
    <row r="1" spans="1:13" ht="91" customHeight="1" thickBot="1" x14ac:dyDescent="0.4">
      <c r="A1" s="99"/>
      <c r="B1" s="100"/>
      <c r="C1" s="101"/>
      <c r="D1" s="100"/>
      <c r="E1" s="100"/>
      <c r="F1" s="100"/>
      <c r="G1" s="102"/>
      <c r="H1" s="100"/>
      <c r="I1" s="103" t="s">
        <v>164</v>
      </c>
      <c r="J1" s="103"/>
      <c r="K1" s="103"/>
      <c r="L1" s="103"/>
      <c r="M1" s="103"/>
    </row>
    <row r="2" spans="1:13" ht="77.5" customHeight="1" x14ac:dyDescent="0.35">
      <c r="A2" s="222" t="s">
        <v>144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4"/>
    </row>
    <row r="3" spans="1:13" ht="16" customHeight="1" thickBot="1" x14ac:dyDescent="0.4">
      <c r="A3" s="225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7"/>
    </row>
    <row r="4" spans="1:13" ht="20.5" customHeight="1" x14ac:dyDescent="0.45">
      <c r="A4" s="239" t="s">
        <v>145</v>
      </c>
      <c r="B4" s="91"/>
      <c r="C4" s="240" t="s">
        <v>146</v>
      </c>
      <c r="D4" s="240"/>
      <c r="E4" s="241"/>
      <c r="F4" s="241"/>
      <c r="G4" s="241"/>
      <c r="H4" s="241"/>
      <c r="I4" s="104"/>
      <c r="J4" s="104"/>
      <c r="K4" s="104"/>
      <c r="L4" s="104"/>
      <c r="M4" s="104"/>
    </row>
    <row r="5" spans="1:13" ht="17" customHeight="1" x14ac:dyDescent="0.35">
      <c r="A5" s="92"/>
      <c r="B5" s="104"/>
      <c r="C5" s="115" t="s">
        <v>146</v>
      </c>
      <c r="D5" s="115"/>
      <c r="E5" s="115"/>
      <c r="F5" s="115"/>
      <c r="G5" s="115"/>
      <c r="H5" s="115"/>
      <c r="I5" s="104"/>
      <c r="J5" s="104"/>
      <c r="K5" s="104"/>
      <c r="L5" s="104"/>
      <c r="M5" s="104"/>
    </row>
    <row r="6" spans="1:13" ht="17" customHeight="1" x14ac:dyDescent="0.35">
      <c r="A6" s="92"/>
      <c r="B6" s="104"/>
      <c r="C6" s="117"/>
      <c r="D6" s="117"/>
      <c r="E6" s="117"/>
      <c r="F6" s="117"/>
      <c r="G6" s="117"/>
      <c r="H6" s="117"/>
      <c r="I6" s="104"/>
      <c r="J6" s="104"/>
      <c r="K6" s="104"/>
      <c r="L6" s="104"/>
      <c r="M6" s="104"/>
    </row>
    <row r="7" spans="1:13" ht="32" customHeight="1" thickBot="1" x14ac:dyDescent="0.4">
      <c r="A7" s="93"/>
      <c r="B7" s="94"/>
      <c r="C7" s="116"/>
      <c r="D7" s="116"/>
      <c r="E7" s="116"/>
      <c r="F7" s="116"/>
      <c r="G7" s="233"/>
      <c r="H7" s="242" t="s">
        <v>147</v>
      </c>
      <c r="I7" s="228" t="s">
        <v>146</v>
      </c>
      <c r="J7" s="228"/>
      <c r="K7" s="228"/>
      <c r="L7" s="228"/>
      <c r="M7" s="228"/>
    </row>
    <row r="8" spans="1:13" ht="87" customHeight="1" thickBot="1" x14ac:dyDescent="0.4">
      <c r="A8" s="234" t="s">
        <v>0</v>
      </c>
      <c r="B8" s="235" t="s">
        <v>148</v>
      </c>
      <c r="C8" s="235"/>
      <c r="D8" s="235"/>
      <c r="E8" s="235"/>
      <c r="F8" s="235"/>
      <c r="G8" s="235"/>
      <c r="H8" s="236" t="s">
        <v>149</v>
      </c>
      <c r="I8" s="230" t="s">
        <v>189</v>
      </c>
      <c r="J8" s="231"/>
      <c r="K8" s="231"/>
      <c r="L8" s="231"/>
      <c r="M8" s="232"/>
    </row>
    <row r="9" spans="1:13" ht="47" customHeight="1" x14ac:dyDescent="0.35">
      <c r="A9" s="105">
        <v>1</v>
      </c>
      <c r="B9" s="237" t="s">
        <v>190</v>
      </c>
      <c r="C9" s="237"/>
      <c r="D9" s="237"/>
      <c r="E9" s="237"/>
      <c r="F9" s="237"/>
      <c r="G9" s="237"/>
      <c r="H9" s="106" t="s">
        <v>150</v>
      </c>
      <c r="I9" s="229" t="s">
        <v>146</v>
      </c>
      <c r="J9" s="229"/>
      <c r="K9" s="229"/>
      <c r="L9" s="229"/>
      <c r="M9" s="229"/>
    </row>
    <row r="10" spans="1:13" ht="29" customHeight="1" x14ac:dyDescent="0.35">
      <c r="A10" s="108">
        <v>2</v>
      </c>
      <c r="B10" s="221" t="s">
        <v>151</v>
      </c>
      <c r="C10" s="221"/>
      <c r="D10" s="221"/>
      <c r="E10" s="221"/>
      <c r="F10" s="221"/>
      <c r="G10" s="221"/>
      <c r="H10" s="109" t="s">
        <v>152</v>
      </c>
      <c r="I10" s="107" t="s">
        <v>146</v>
      </c>
      <c r="J10" s="107"/>
      <c r="K10" s="107"/>
      <c r="L10" s="107"/>
      <c r="M10" s="107"/>
    </row>
    <row r="11" spans="1:13" ht="29" customHeight="1" x14ac:dyDescent="0.35">
      <c r="A11" s="108">
        <v>3</v>
      </c>
      <c r="B11" s="221" t="s">
        <v>153</v>
      </c>
      <c r="C11" s="221"/>
      <c r="D11" s="221"/>
      <c r="E11" s="221"/>
      <c r="F11" s="221"/>
      <c r="G11" s="221"/>
      <c r="H11" s="109" t="s">
        <v>154</v>
      </c>
      <c r="I11" s="107" t="s">
        <v>146</v>
      </c>
      <c r="J11" s="107"/>
      <c r="K11" s="107"/>
      <c r="L11" s="107"/>
      <c r="M11" s="107"/>
    </row>
    <row r="12" spans="1:13" ht="27.5" customHeight="1" x14ac:dyDescent="0.35">
      <c r="A12" s="108">
        <v>4</v>
      </c>
      <c r="B12" s="221" t="s">
        <v>155</v>
      </c>
      <c r="C12" s="221"/>
      <c r="D12" s="221"/>
      <c r="E12" s="221"/>
      <c r="F12" s="221"/>
      <c r="G12" s="221"/>
      <c r="H12" s="109" t="s">
        <v>156</v>
      </c>
      <c r="I12" s="107" t="s">
        <v>146</v>
      </c>
      <c r="J12" s="107"/>
      <c r="K12" s="107"/>
      <c r="L12" s="107"/>
      <c r="M12" s="107"/>
    </row>
    <row r="13" spans="1:13" ht="29" customHeight="1" x14ac:dyDescent="0.35">
      <c r="A13" s="108">
        <v>5</v>
      </c>
      <c r="B13" s="221" t="s">
        <v>157</v>
      </c>
      <c r="C13" s="221"/>
      <c r="D13" s="221"/>
      <c r="E13" s="221"/>
      <c r="F13" s="221"/>
      <c r="G13" s="221"/>
      <c r="H13" s="109" t="s">
        <v>152</v>
      </c>
      <c r="I13" s="107" t="s">
        <v>146</v>
      </c>
      <c r="J13" s="107"/>
      <c r="K13" s="107"/>
      <c r="L13" s="107"/>
      <c r="M13" s="107"/>
    </row>
    <row r="14" spans="1:13" ht="59.5" customHeight="1" x14ac:dyDescent="0.35">
      <c r="A14" s="108">
        <v>6</v>
      </c>
      <c r="B14" s="221" t="s">
        <v>158</v>
      </c>
      <c r="C14" s="221"/>
      <c r="D14" s="221"/>
      <c r="E14" s="221"/>
      <c r="F14" s="221"/>
      <c r="G14" s="221"/>
      <c r="H14" s="106" t="s">
        <v>159</v>
      </c>
      <c r="I14" s="107" t="s">
        <v>146</v>
      </c>
      <c r="J14" s="107"/>
      <c r="K14" s="107"/>
      <c r="L14" s="107"/>
      <c r="M14" s="107"/>
    </row>
    <row r="15" spans="1:13" ht="32" customHeight="1" x14ac:dyDescent="0.35">
      <c r="A15" s="108">
        <v>7</v>
      </c>
      <c r="B15" s="221" t="s">
        <v>160</v>
      </c>
      <c r="C15" s="221"/>
      <c r="D15" s="221"/>
      <c r="E15" s="221"/>
      <c r="F15" s="221"/>
      <c r="G15" s="221"/>
      <c r="H15" s="110" t="s">
        <v>161</v>
      </c>
      <c r="I15" s="107" t="s">
        <v>146</v>
      </c>
      <c r="J15" s="107"/>
      <c r="K15" s="107"/>
      <c r="L15" s="107"/>
      <c r="M15" s="107"/>
    </row>
    <row r="16" spans="1:13" ht="41.5" customHeight="1" thickBot="1" x14ac:dyDescent="0.4">
      <c r="A16" s="111">
        <v>8</v>
      </c>
      <c r="B16" s="238" t="s">
        <v>162</v>
      </c>
      <c r="C16" s="238"/>
      <c r="D16" s="238"/>
      <c r="E16" s="238"/>
      <c r="F16" s="238"/>
      <c r="G16" s="238"/>
      <c r="H16" s="112" t="s">
        <v>163</v>
      </c>
      <c r="I16" s="113" t="s">
        <v>146</v>
      </c>
      <c r="J16" s="113"/>
      <c r="K16" s="113"/>
      <c r="L16" s="113"/>
      <c r="M16" s="113"/>
    </row>
    <row r="17" spans="1:13" ht="87" customHeight="1" outlineLevel="1" x14ac:dyDescent="0.35">
      <c r="A17" s="205">
        <v>9</v>
      </c>
      <c r="B17" s="69" t="s">
        <v>1</v>
      </c>
      <c r="C17" s="69" t="s">
        <v>2</v>
      </c>
      <c r="D17" s="69" t="s">
        <v>3</v>
      </c>
      <c r="E17" s="69" t="s">
        <v>7</v>
      </c>
      <c r="F17" s="69" t="s">
        <v>8</v>
      </c>
      <c r="G17" s="69" t="s">
        <v>9</v>
      </c>
      <c r="H17" s="71" t="s">
        <v>10</v>
      </c>
      <c r="I17" s="120" t="s">
        <v>22</v>
      </c>
      <c r="J17" s="124"/>
      <c r="K17" s="124"/>
      <c r="L17" s="124"/>
      <c r="M17" s="125"/>
    </row>
    <row r="18" spans="1:13" ht="18.75" customHeight="1" outlineLevel="1" thickBot="1" x14ac:dyDescent="0.4">
      <c r="A18" s="206"/>
      <c r="B18" s="70"/>
      <c r="C18" s="70"/>
      <c r="D18" s="70"/>
      <c r="E18" s="70"/>
      <c r="F18" s="70"/>
      <c r="G18" s="70"/>
      <c r="H18" s="72"/>
      <c r="I18" s="121"/>
      <c r="J18" s="126"/>
      <c r="K18" s="126"/>
      <c r="L18" s="126"/>
      <c r="M18" s="127"/>
    </row>
    <row r="19" spans="1:13" ht="25.5" customHeight="1" outlineLevel="1" thickBot="1" x14ac:dyDescent="0.4">
      <c r="A19" s="97" t="s">
        <v>25</v>
      </c>
      <c r="B19" s="98"/>
      <c r="C19" s="98"/>
      <c r="D19" s="98"/>
      <c r="E19" s="98"/>
      <c r="F19" s="98"/>
      <c r="G19" s="98"/>
      <c r="H19" s="98"/>
      <c r="I19" s="98"/>
      <c r="J19" s="118"/>
      <c r="K19" s="118"/>
      <c r="L19" s="118"/>
      <c r="M19" s="119"/>
    </row>
    <row r="20" spans="1:13" ht="19.5" customHeight="1" outlineLevel="1" thickBot="1" x14ac:dyDescent="0.4">
      <c r="A20" s="95" t="s">
        <v>33</v>
      </c>
      <c r="B20" s="96"/>
      <c r="C20" s="96"/>
      <c r="D20" s="96"/>
      <c r="E20" s="96"/>
      <c r="F20" s="96"/>
      <c r="G20" s="96"/>
      <c r="H20" s="96"/>
      <c r="I20" s="96"/>
      <c r="J20" s="118"/>
      <c r="K20" s="118"/>
      <c r="L20" s="118"/>
      <c r="M20" s="119"/>
    </row>
    <row r="21" spans="1:13" ht="19.5" customHeight="1" outlineLevel="1" thickBot="1" x14ac:dyDescent="0.4">
      <c r="A21" s="95" t="s">
        <v>165</v>
      </c>
      <c r="B21" s="96"/>
      <c r="C21" s="96"/>
      <c r="D21" s="96"/>
      <c r="E21" s="96"/>
      <c r="F21" s="96"/>
      <c r="G21" s="96"/>
      <c r="H21" s="96"/>
      <c r="I21" s="96"/>
      <c r="J21" s="122"/>
      <c r="K21" s="122"/>
      <c r="L21" s="122"/>
      <c r="M21" s="123"/>
    </row>
    <row r="22" spans="1:13" ht="26" customHeight="1" outlineLevel="1" x14ac:dyDescent="0.35">
      <c r="A22" s="53">
        <v>1</v>
      </c>
      <c r="B22" s="12" t="s">
        <v>26</v>
      </c>
      <c r="C22" s="6" t="s">
        <v>6</v>
      </c>
      <c r="D22" s="6">
        <v>35</v>
      </c>
      <c r="E22" s="38">
        <v>0</v>
      </c>
      <c r="F22" s="6">
        <f t="shared" ref="F22:F31" si="0">ROUND(E22*D22,2)</f>
        <v>0</v>
      </c>
      <c r="G22" s="6"/>
      <c r="H22" s="6"/>
      <c r="I22" s="131">
        <f>ROUND(H22+F22,2)</f>
        <v>0</v>
      </c>
      <c r="J22" s="132"/>
      <c r="K22" s="132"/>
      <c r="L22" s="132"/>
      <c r="M22" s="133"/>
    </row>
    <row r="23" spans="1:13" ht="26" customHeight="1" outlineLevel="1" x14ac:dyDescent="0.35">
      <c r="A23" s="51">
        <v>2</v>
      </c>
      <c r="B23" s="3" t="s">
        <v>27</v>
      </c>
      <c r="C23" s="4" t="s">
        <v>6</v>
      </c>
      <c r="D23" s="4">
        <v>4</v>
      </c>
      <c r="E23" s="35">
        <v>0</v>
      </c>
      <c r="F23" s="4">
        <f>ROUND(E23*D23,2)</f>
        <v>0</v>
      </c>
      <c r="G23" s="4"/>
      <c r="H23" s="4"/>
      <c r="I23" s="128">
        <f>ROUND(H23+F23,2)</f>
        <v>0</v>
      </c>
      <c r="J23" s="129"/>
      <c r="K23" s="129"/>
      <c r="L23" s="129"/>
      <c r="M23" s="130"/>
    </row>
    <row r="24" spans="1:13" ht="26" customHeight="1" outlineLevel="1" x14ac:dyDescent="0.35">
      <c r="A24" s="51">
        <v>3</v>
      </c>
      <c r="B24" s="3" t="s">
        <v>28</v>
      </c>
      <c r="C24" s="4" t="s">
        <v>6</v>
      </c>
      <c r="D24" s="4">
        <v>5</v>
      </c>
      <c r="E24" s="35">
        <v>0</v>
      </c>
      <c r="F24" s="4">
        <f>ROUND(E24*D24,2)</f>
        <v>0</v>
      </c>
      <c r="G24" s="4"/>
      <c r="H24" s="4"/>
      <c r="I24" s="128">
        <f t="shared" ref="I24:I32" si="1">ROUND(H24+F24,2)</f>
        <v>0</v>
      </c>
      <c r="J24" s="129"/>
      <c r="K24" s="129"/>
      <c r="L24" s="129"/>
      <c r="M24" s="130"/>
    </row>
    <row r="25" spans="1:13" ht="37.25" customHeight="1" outlineLevel="1" x14ac:dyDescent="0.35">
      <c r="A25" s="51">
        <v>4</v>
      </c>
      <c r="B25" s="3" t="s">
        <v>17</v>
      </c>
      <c r="C25" s="4" t="s">
        <v>6</v>
      </c>
      <c r="D25" s="4">
        <v>6</v>
      </c>
      <c r="E25" s="35">
        <v>0</v>
      </c>
      <c r="F25" s="4">
        <f>ROUND(E25*D25,2)</f>
        <v>0</v>
      </c>
      <c r="G25" s="4"/>
      <c r="H25" s="4"/>
      <c r="I25" s="128">
        <f t="shared" si="1"/>
        <v>0</v>
      </c>
      <c r="J25" s="129"/>
      <c r="K25" s="129"/>
      <c r="L25" s="129"/>
      <c r="M25" s="130"/>
    </row>
    <row r="26" spans="1:13" ht="26.4" customHeight="1" outlineLevel="1" x14ac:dyDescent="0.35">
      <c r="A26" s="51">
        <v>5</v>
      </c>
      <c r="B26" s="3" t="s">
        <v>18</v>
      </c>
      <c r="C26" s="4" t="s">
        <v>6</v>
      </c>
      <c r="D26" s="4">
        <v>8</v>
      </c>
      <c r="E26" s="35">
        <v>0</v>
      </c>
      <c r="F26" s="4">
        <f t="shared" si="0"/>
        <v>0</v>
      </c>
      <c r="G26" s="4"/>
      <c r="H26" s="4"/>
      <c r="I26" s="128">
        <f t="shared" si="1"/>
        <v>0</v>
      </c>
      <c r="J26" s="129"/>
      <c r="K26" s="129"/>
      <c r="L26" s="129"/>
      <c r="M26" s="130"/>
    </row>
    <row r="27" spans="1:13" ht="25.25" customHeight="1" outlineLevel="1" x14ac:dyDescent="0.35">
      <c r="A27" s="51">
        <v>6</v>
      </c>
      <c r="B27" s="3" t="s">
        <v>32</v>
      </c>
      <c r="C27" s="4" t="s">
        <v>6</v>
      </c>
      <c r="D27" s="4">
        <v>4</v>
      </c>
      <c r="E27" s="35">
        <v>0</v>
      </c>
      <c r="F27" s="4">
        <f t="shared" si="0"/>
        <v>0</v>
      </c>
      <c r="G27" s="4"/>
      <c r="H27" s="4"/>
      <c r="I27" s="128">
        <f t="shared" si="1"/>
        <v>0</v>
      </c>
      <c r="J27" s="129"/>
      <c r="K27" s="129"/>
      <c r="L27" s="129"/>
      <c r="M27" s="130"/>
    </row>
    <row r="28" spans="1:13" ht="35.4" customHeight="1" outlineLevel="1" x14ac:dyDescent="0.35">
      <c r="A28" s="51">
        <v>7</v>
      </c>
      <c r="B28" s="3" t="s">
        <v>37</v>
      </c>
      <c r="C28" s="4" t="s">
        <v>16</v>
      </c>
      <c r="D28" s="4">
        <v>1180</v>
      </c>
      <c r="E28" s="35">
        <v>0</v>
      </c>
      <c r="F28" s="4">
        <f t="shared" si="0"/>
        <v>0</v>
      </c>
      <c r="G28" s="4"/>
      <c r="H28" s="4"/>
      <c r="I28" s="128">
        <f t="shared" si="1"/>
        <v>0</v>
      </c>
      <c r="J28" s="129"/>
      <c r="K28" s="129"/>
      <c r="L28" s="129"/>
      <c r="M28" s="130"/>
    </row>
    <row r="29" spans="1:13" ht="29" customHeight="1" outlineLevel="1" x14ac:dyDescent="0.35">
      <c r="A29" s="51">
        <v>8</v>
      </c>
      <c r="B29" s="3" t="s">
        <v>36</v>
      </c>
      <c r="C29" s="4" t="s">
        <v>21</v>
      </c>
      <c r="D29" s="4">
        <v>1</v>
      </c>
      <c r="E29" s="35">
        <v>0</v>
      </c>
      <c r="F29" s="4">
        <f>ROUND(E29*D29,2)</f>
        <v>0</v>
      </c>
      <c r="G29" s="4"/>
      <c r="H29" s="4"/>
      <c r="I29" s="128">
        <f t="shared" si="1"/>
        <v>0</v>
      </c>
      <c r="J29" s="129"/>
      <c r="K29" s="129"/>
      <c r="L29" s="129"/>
      <c r="M29" s="130"/>
    </row>
    <row r="30" spans="1:13" ht="40.25" customHeight="1" outlineLevel="1" x14ac:dyDescent="0.35">
      <c r="A30" s="51">
        <v>9</v>
      </c>
      <c r="B30" s="3" t="s">
        <v>35</v>
      </c>
      <c r="C30" s="4" t="s">
        <v>16</v>
      </c>
      <c r="D30" s="4">
        <v>95</v>
      </c>
      <c r="E30" s="35">
        <v>0</v>
      </c>
      <c r="F30" s="4">
        <f t="shared" si="0"/>
        <v>0</v>
      </c>
      <c r="G30" s="4"/>
      <c r="H30" s="4"/>
      <c r="I30" s="128">
        <f t="shared" si="1"/>
        <v>0</v>
      </c>
      <c r="J30" s="129"/>
      <c r="K30" s="129"/>
      <c r="L30" s="129"/>
      <c r="M30" s="130"/>
    </row>
    <row r="31" spans="1:13" ht="30" customHeight="1" outlineLevel="1" x14ac:dyDescent="0.35">
      <c r="A31" s="51">
        <v>10</v>
      </c>
      <c r="B31" s="3" t="s">
        <v>38</v>
      </c>
      <c r="C31" s="4" t="s">
        <v>20</v>
      </c>
      <c r="D31" s="4">
        <v>1</v>
      </c>
      <c r="E31" s="35">
        <v>0</v>
      </c>
      <c r="F31" s="4">
        <f t="shared" si="0"/>
        <v>0</v>
      </c>
      <c r="G31" s="4"/>
      <c r="H31" s="4"/>
      <c r="I31" s="128">
        <f t="shared" si="1"/>
        <v>0</v>
      </c>
      <c r="J31" s="129"/>
      <c r="K31" s="129"/>
      <c r="L31" s="129"/>
      <c r="M31" s="130"/>
    </row>
    <row r="32" spans="1:13" ht="34.25" customHeight="1" outlineLevel="1" x14ac:dyDescent="0.35">
      <c r="A32" s="81">
        <v>11</v>
      </c>
      <c r="B32" s="3" t="s">
        <v>24</v>
      </c>
      <c r="C32" s="4" t="s">
        <v>5</v>
      </c>
      <c r="D32" s="4">
        <v>900</v>
      </c>
      <c r="E32" s="35">
        <v>0</v>
      </c>
      <c r="F32" s="4">
        <f>ROUND(E32*D32,2)</f>
        <v>0</v>
      </c>
      <c r="G32" s="4"/>
      <c r="H32" s="4">
        <f>H33</f>
        <v>0</v>
      </c>
      <c r="I32" s="128">
        <f t="shared" si="1"/>
        <v>0</v>
      </c>
      <c r="J32" s="129"/>
      <c r="K32" s="129"/>
      <c r="L32" s="129"/>
      <c r="M32" s="130"/>
    </row>
    <row r="33" spans="1:13" ht="29" customHeight="1" outlineLevel="1" thickBot="1" x14ac:dyDescent="0.4">
      <c r="A33" s="82"/>
      <c r="B33" s="45" t="s">
        <v>39</v>
      </c>
      <c r="C33" s="25" t="s">
        <v>6</v>
      </c>
      <c r="D33" s="25">
        <v>1</v>
      </c>
      <c r="E33" s="46"/>
      <c r="F33" s="25"/>
      <c r="G33" s="47">
        <v>0</v>
      </c>
      <c r="H33" s="25">
        <f>ROUND(G33*D33,2)</f>
        <v>0</v>
      </c>
      <c r="I33" s="135"/>
      <c r="J33" s="136"/>
      <c r="K33" s="136"/>
      <c r="L33" s="136"/>
      <c r="M33" s="137"/>
    </row>
    <row r="34" spans="1:13" s="15" customFormat="1" ht="22.5" customHeight="1" outlineLevel="1" thickBot="1" x14ac:dyDescent="0.4">
      <c r="A34" s="79" t="s">
        <v>34</v>
      </c>
      <c r="B34" s="80"/>
      <c r="C34" s="80"/>
      <c r="D34" s="80"/>
      <c r="E34" s="29"/>
      <c r="F34" s="29">
        <f>SUM(F22:F33)</f>
        <v>0</v>
      </c>
      <c r="G34" s="29"/>
      <c r="H34" s="48">
        <f>SUM(H22:H32)</f>
        <v>0</v>
      </c>
      <c r="I34" s="138">
        <f>SUM(I22:I33)</f>
        <v>0</v>
      </c>
      <c r="J34" s="118"/>
      <c r="K34" s="118"/>
      <c r="L34" s="118"/>
      <c r="M34" s="119"/>
    </row>
    <row r="35" spans="1:13" ht="19.5" customHeight="1" outlineLevel="1" thickBot="1" x14ac:dyDescent="0.4">
      <c r="A35" s="141" t="s">
        <v>166</v>
      </c>
      <c r="B35" s="142"/>
      <c r="C35" s="142"/>
      <c r="D35" s="142"/>
      <c r="E35" s="142"/>
      <c r="F35" s="142"/>
      <c r="G35" s="142"/>
      <c r="H35" s="142"/>
      <c r="I35" s="142"/>
      <c r="J35" s="122"/>
      <c r="K35" s="122"/>
      <c r="L35" s="122"/>
      <c r="M35" s="123"/>
    </row>
    <row r="36" spans="1:13" ht="19.5" customHeight="1" outlineLevel="1" x14ac:dyDescent="0.35">
      <c r="A36" s="88">
        <v>12</v>
      </c>
      <c r="B36" s="139" t="s">
        <v>86</v>
      </c>
      <c r="C36" s="6" t="s">
        <v>6</v>
      </c>
      <c r="D36" s="6">
        <v>1</v>
      </c>
      <c r="E36" s="38">
        <v>0</v>
      </c>
      <c r="F36" s="6">
        <f>ROUND(E36*D36,2)</f>
        <v>0</v>
      </c>
      <c r="G36" s="140"/>
      <c r="H36" s="6">
        <f>H37+H38+H40+H39</f>
        <v>0</v>
      </c>
      <c r="I36" s="131">
        <f>ROUND(H36+F36,2)</f>
        <v>0</v>
      </c>
      <c r="J36" s="132"/>
      <c r="K36" s="132"/>
      <c r="L36" s="132"/>
      <c r="M36" s="133"/>
    </row>
    <row r="37" spans="1:13" ht="36.65" customHeight="1" outlineLevel="1" x14ac:dyDescent="0.35">
      <c r="A37" s="57"/>
      <c r="B37" s="2" t="s">
        <v>87</v>
      </c>
      <c r="C37" s="4" t="s">
        <v>6</v>
      </c>
      <c r="D37" s="4">
        <v>1</v>
      </c>
      <c r="E37" s="37"/>
      <c r="F37" s="4"/>
      <c r="G37" s="39">
        <v>0</v>
      </c>
      <c r="H37" s="4">
        <f>ROUND(G37*D37,2)</f>
        <v>0</v>
      </c>
      <c r="I37" s="128"/>
      <c r="J37" s="129"/>
      <c r="K37" s="129"/>
      <c r="L37" s="129"/>
      <c r="M37" s="130"/>
    </row>
    <row r="38" spans="1:13" ht="34.25" customHeight="1" outlineLevel="1" x14ac:dyDescent="0.35">
      <c r="A38" s="57"/>
      <c r="B38" s="2" t="s">
        <v>74</v>
      </c>
      <c r="C38" s="4" t="s">
        <v>6</v>
      </c>
      <c r="D38" s="4">
        <v>1</v>
      </c>
      <c r="E38" s="37"/>
      <c r="F38" s="4"/>
      <c r="G38" s="39">
        <v>0</v>
      </c>
      <c r="H38" s="4">
        <f t="shared" ref="H38:H40" si="2">ROUND(G38*D38,2)</f>
        <v>0</v>
      </c>
      <c r="I38" s="128"/>
      <c r="J38" s="129"/>
      <c r="K38" s="129"/>
      <c r="L38" s="129"/>
      <c r="M38" s="130"/>
    </row>
    <row r="39" spans="1:13" ht="34.25" customHeight="1" outlineLevel="1" x14ac:dyDescent="0.35">
      <c r="A39" s="57"/>
      <c r="B39" s="2" t="s">
        <v>75</v>
      </c>
      <c r="C39" s="4" t="s">
        <v>6</v>
      </c>
      <c r="D39" s="4">
        <v>1</v>
      </c>
      <c r="E39" s="37"/>
      <c r="F39" s="4"/>
      <c r="G39" s="39">
        <v>0</v>
      </c>
      <c r="H39" s="4">
        <f t="shared" ref="H39" si="3">ROUND(G39*D39,2)</f>
        <v>0</v>
      </c>
      <c r="I39" s="128"/>
      <c r="J39" s="129"/>
      <c r="K39" s="129"/>
      <c r="L39" s="129"/>
      <c r="M39" s="130"/>
    </row>
    <row r="40" spans="1:13" ht="39.65" customHeight="1" outlineLevel="1" x14ac:dyDescent="0.35">
      <c r="A40" s="58"/>
      <c r="B40" s="2" t="s">
        <v>76</v>
      </c>
      <c r="C40" s="4" t="s">
        <v>6</v>
      </c>
      <c r="D40" s="4">
        <v>1</v>
      </c>
      <c r="E40" s="37"/>
      <c r="F40" s="4"/>
      <c r="G40" s="39">
        <v>0</v>
      </c>
      <c r="H40" s="4">
        <f t="shared" si="2"/>
        <v>0</v>
      </c>
      <c r="I40" s="128"/>
      <c r="J40" s="129"/>
      <c r="K40" s="129"/>
      <c r="L40" s="129"/>
      <c r="M40" s="130"/>
    </row>
    <row r="41" spans="1:13" ht="27.65" customHeight="1" outlineLevel="1" x14ac:dyDescent="0.35">
      <c r="A41" s="56">
        <v>13</v>
      </c>
      <c r="B41" s="50" t="s">
        <v>77</v>
      </c>
      <c r="C41" s="4" t="s">
        <v>6</v>
      </c>
      <c r="D41" s="4">
        <v>15</v>
      </c>
      <c r="E41" s="35">
        <v>0</v>
      </c>
      <c r="F41" s="4">
        <f>ROUND(E41*D41,2)</f>
        <v>0</v>
      </c>
      <c r="G41" s="1"/>
      <c r="H41" s="4">
        <f>H42+H43+H44+H45+H46+H47+H48+H49</f>
        <v>0</v>
      </c>
      <c r="I41" s="128">
        <f>ROUND(H41+F41,2)</f>
        <v>0</v>
      </c>
      <c r="J41" s="129"/>
      <c r="K41" s="129"/>
      <c r="L41" s="129"/>
      <c r="M41" s="130"/>
    </row>
    <row r="42" spans="1:13" ht="39.65" customHeight="1" outlineLevel="1" x14ac:dyDescent="0.35">
      <c r="A42" s="57"/>
      <c r="B42" s="2" t="s">
        <v>78</v>
      </c>
      <c r="C42" s="4" t="s">
        <v>6</v>
      </c>
      <c r="D42" s="4">
        <v>1</v>
      </c>
      <c r="E42" s="37"/>
      <c r="F42" s="4"/>
      <c r="G42" s="39">
        <v>0</v>
      </c>
      <c r="H42" s="4">
        <f>ROUND(G42*D42,2)</f>
        <v>0</v>
      </c>
      <c r="I42" s="128"/>
      <c r="J42" s="129"/>
      <c r="K42" s="129"/>
      <c r="L42" s="129"/>
      <c r="M42" s="130"/>
    </row>
    <row r="43" spans="1:13" ht="39.65" customHeight="1" outlineLevel="1" x14ac:dyDescent="0.35">
      <c r="A43" s="57"/>
      <c r="B43" s="2" t="s">
        <v>79</v>
      </c>
      <c r="C43" s="4" t="s">
        <v>6</v>
      </c>
      <c r="D43" s="4">
        <v>1</v>
      </c>
      <c r="E43" s="37"/>
      <c r="F43" s="4"/>
      <c r="G43" s="39">
        <v>0</v>
      </c>
      <c r="H43" s="4">
        <f t="shared" ref="H43:H49" si="4">ROUND(G43*D43,2)</f>
        <v>0</v>
      </c>
      <c r="I43" s="128"/>
      <c r="J43" s="129"/>
      <c r="K43" s="129"/>
      <c r="L43" s="129"/>
      <c r="M43" s="130"/>
    </row>
    <row r="44" spans="1:13" ht="39.65" customHeight="1" outlineLevel="1" x14ac:dyDescent="0.35">
      <c r="A44" s="57"/>
      <c r="B44" s="2" t="s">
        <v>80</v>
      </c>
      <c r="C44" s="4" t="s">
        <v>6</v>
      </c>
      <c r="D44" s="4">
        <v>3</v>
      </c>
      <c r="E44" s="37"/>
      <c r="F44" s="4"/>
      <c r="G44" s="39">
        <v>0</v>
      </c>
      <c r="H44" s="4">
        <f t="shared" si="4"/>
        <v>0</v>
      </c>
      <c r="I44" s="128"/>
      <c r="J44" s="129"/>
      <c r="K44" s="129"/>
      <c r="L44" s="129"/>
      <c r="M44" s="130"/>
    </row>
    <row r="45" spans="1:13" ht="39.65" customHeight="1" outlineLevel="1" x14ac:dyDescent="0.35">
      <c r="A45" s="57"/>
      <c r="B45" s="2" t="s">
        <v>81</v>
      </c>
      <c r="C45" s="4" t="s">
        <v>6</v>
      </c>
      <c r="D45" s="4">
        <v>2</v>
      </c>
      <c r="E45" s="37"/>
      <c r="F45" s="4"/>
      <c r="G45" s="39">
        <v>0</v>
      </c>
      <c r="H45" s="4">
        <f t="shared" si="4"/>
        <v>0</v>
      </c>
      <c r="I45" s="128"/>
      <c r="J45" s="129"/>
      <c r="K45" s="129"/>
      <c r="L45" s="129"/>
      <c r="M45" s="130"/>
    </row>
    <row r="46" spans="1:13" ht="39.65" customHeight="1" outlineLevel="1" x14ac:dyDescent="0.35">
      <c r="A46" s="57"/>
      <c r="B46" s="2" t="s">
        <v>82</v>
      </c>
      <c r="C46" s="4" t="s">
        <v>6</v>
      </c>
      <c r="D46" s="4">
        <v>1</v>
      </c>
      <c r="E46" s="37"/>
      <c r="F46" s="4"/>
      <c r="G46" s="39">
        <v>0</v>
      </c>
      <c r="H46" s="4">
        <f t="shared" si="4"/>
        <v>0</v>
      </c>
      <c r="I46" s="128"/>
      <c r="J46" s="129"/>
      <c r="K46" s="129"/>
      <c r="L46" s="129"/>
      <c r="M46" s="130"/>
    </row>
    <row r="47" spans="1:13" ht="39.65" customHeight="1" outlineLevel="1" x14ac:dyDescent="0.35">
      <c r="A47" s="57"/>
      <c r="B47" s="2" t="s">
        <v>83</v>
      </c>
      <c r="C47" s="4" t="s">
        <v>6</v>
      </c>
      <c r="D47" s="4">
        <v>5</v>
      </c>
      <c r="E47" s="37"/>
      <c r="F47" s="4"/>
      <c r="G47" s="39">
        <v>0</v>
      </c>
      <c r="H47" s="4">
        <f t="shared" si="4"/>
        <v>0</v>
      </c>
      <c r="I47" s="128"/>
      <c r="J47" s="129"/>
      <c r="K47" s="129"/>
      <c r="L47" s="129"/>
      <c r="M47" s="130"/>
    </row>
    <row r="48" spans="1:13" ht="39.65" customHeight="1" outlineLevel="1" x14ac:dyDescent="0.35">
      <c r="A48" s="57"/>
      <c r="B48" s="2" t="s">
        <v>98</v>
      </c>
      <c r="C48" s="4" t="s">
        <v>6</v>
      </c>
      <c r="D48" s="4">
        <v>1</v>
      </c>
      <c r="E48" s="37"/>
      <c r="F48" s="4"/>
      <c r="G48" s="39">
        <v>0</v>
      </c>
      <c r="H48" s="4">
        <f t="shared" si="4"/>
        <v>0</v>
      </c>
      <c r="I48" s="128"/>
      <c r="J48" s="129"/>
      <c r="K48" s="129"/>
      <c r="L48" s="129"/>
      <c r="M48" s="130"/>
    </row>
    <row r="49" spans="1:13" ht="25.25" customHeight="1" outlineLevel="1" x14ac:dyDescent="0.35">
      <c r="A49" s="58"/>
      <c r="B49" s="2" t="s">
        <v>84</v>
      </c>
      <c r="C49" s="4" t="s">
        <v>6</v>
      </c>
      <c r="D49" s="4">
        <v>1</v>
      </c>
      <c r="E49" s="37"/>
      <c r="F49" s="4"/>
      <c r="G49" s="39">
        <v>0</v>
      </c>
      <c r="H49" s="4">
        <f t="shared" si="4"/>
        <v>0</v>
      </c>
      <c r="I49" s="128"/>
      <c r="J49" s="129"/>
      <c r="K49" s="129"/>
      <c r="L49" s="129"/>
      <c r="M49" s="130"/>
    </row>
    <row r="50" spans="1:13" ht="27" customHeight="1" outlineLevel="1" x14ac:dyDescent="0.35">
      <c r="A50" s="83">
        <v>14</v>
      </c>
      <c r="B50" s="44" t="s">
        <v>85</v>
      </c>
      <c r="C50" s="4" t="s">
        <v>21</v>
      </c>
      <c r="D50" s="4">
        <v>1</v>
      </c>
      <c r="E50" s="35">
        <v>0</v>
      </c>
      <c r="F50" s="4">
        <f>ROUND(E50*D50,2)</f>
        <v>0</v>
      </c>
      <c r="G50" s="1"/>
      <c r="H50" s="4">
        <f>H51</f>
        <v>0</v>
      </c>
      <c r="I50" s="128">
        <f>ROUND(H50+F50,2)</f>
        <v>0</v>
      </c>
      <c r="J50" s="129"/>
      <c r="K50" s="129"/>
      <c r="L50" s="129"/>
      <c r="M50" s="130"/>
    </row>
    <row r="51" spans="1:13" ht="24.65" customHeight="1" outlineLevel="1" x14ac:dyDescent="0.35">
      <c r="A51" s="84"/>
      <c r="B51" s="49" t="s">
        <v>88</v>
      </c>
      <c r="C51" s="4" t="s">
        <v>6</v>
      </c>
      <c r="D51" s="4">
        <v>1</v>
      </c>
      <c r="E51" s="37"/>
      <c r="F51" s="4"/>
      <c r="G51" s="39">
        <v>0</v>
      </c>
      <c r="H51" s="4">
        <f>ROUND(G51*D51,2)</f>
        <v>0</v>
      </c>
      <c r="I51" s="128"/>
      <c r="J51" s="129"/>
      <c r="K51" s="129"/>
      <c r="L51" s="129"/>
      <c r="M51" s="130"/>
    </row>
    <row r="52" spans="1:13" ht="26.4" customHeight="1" outlineLevel="1" x14ac:dyDescent="0.35">
      <c r="A52" s="56">
        <v>15</v>
      </c>
      <c r="B52" s="50" t="s">
        <v>89</v>
      </c>
      <c r="C52" s="4" t="s">
        <v>6</v>
      </c>
      <c r="D52" s="4">
        <v>9</v>
      </c>
      <c r="E52" s="35">
        <v>0</v>
      </c>
      <c r="F52" s="4">
        <f>ROUND(E52*D52,2)</f>
        <v>0</v>
      </c>
      <c r="G52" s="1"/>
      <c r="H52" s="4">
        <f>H53+H54+H55+H56+H57+H58</f>
        <v>0</v>
      </c>
      <c r="I52" s="128">
        <f>ROUND(H52+F52,2)</f>
        <v>0</v>
      </c>
      <c r="J52" s="129"/>
      <c r="K52" s="129"/>
      <c r="L52" s="129"/>
      <c r="M52" s="130"/>
    </row>
    <row r="53" spans="1:13" ht="40.25" customHeight="1" outlineLevel="1" x14ac:dyDescent="0.35">
      <c r="A53" s="57"/>
      <c r="B53" s="2" t="s">
        <v>90</v>
      </c>
      <c r="C53" s="4" t="s">
        <v>6</v>
      </c>
      <c r="D53" s="4">
        <v>1</v>
      </c>
      <c r="E53" s="37"/>
      <c r="F53" s="4"/>
      <c r="G53" s="39">
        <v>0</v>
      </c>
      <c r="H53" s="4">
        <f>ROUND(G53*D53,2)</f>
        <v>0</v>
      </c>
      <c r="I53" s="134"/>
      <c r="J53" s="114"/>
      <c r="K53" s="114"/>
      <c r="L53" s="114"/>
      <c r="M53" s="143"/>
    </row>
    <row r="54" spans="1:13" ht="37.25" customHeight="1" outlineLevel="1" x14ac:dyDescent="0.35">
      <c r="A54" s="57"/>
      <c r="B54" s="2" t="s">
        <v>91</v>
      </c>
      <c r="C54" s="4" t="s">
        <v>6</v>
      </c>
      <c r="D54" s="4">
        <v>1</v>
      </c>
      <c r="E54" s="37"/>
      <c r="F54" s="4"/>
      <c r="G54" s="39">
        <v>0</v>
      </c>
      <c r="H54" s="4">
        <f t="shared" ref="H54" si="5">ROUND(G54*D54,2)</f>
        <v>0</v>
      </c>
      <c r="I54" s="134"/>
      <c r="J54" s="114"/>
      <c r="K54" s="114"/>
      <c r="L54" s="114"/>
      <c r="M54" s="143"/>
    </row>
    <row r="55" spans="1:13" ht="34.75" customHeight="1" outlineLevel="1" x14ac:dyDescent="0.35">
      <c r="A55" s="57"/>
      <c r="B55" s="2" t="s">
        <v>80</v>
      </c>
      <c r="C55" s="4" t="s">
        <v>6</v>
      </c>
      <c r="D55" s="4">
        <v>1</v>
      </c>
      <c r="E55" s="37"/>
      <c r="F55" s="4"/>
      <c r="G55" s="39">
        <v>0</v>
      </c>
      <c r="H55" s="4">
        <f>ROUND(G55*D55,2)</f>
        <v>0</v>
      </c>
      <c r="I55" s="134"/>
      <c r="J55" s="114"/>
      <c r="K55" s="114"/>
      <c r="L55" s="114"/>
      <c r="M55" s="143"/>
    </row>
    <row r="56" spans="1:13" ht="42" customHeight="1" outlineLevel="1" x14ac:dyDescent="0.35">
      <c r="A56" s="57"/>
      <c r="B56" s="2" t="s">
        <v>81</v>
      </c>
      <c r="C56" s="4" t="s">
        <v>6</v>
      </c>
      <c r="D56" s="4">
        <v>4</v>
      </c>
      <c r="E56" s="37"/>
      <c r="F56" s="4"/>
      <c r="G56" s="39">
        <v>0</v>
      </c>
      <c r="H56" s="4">
        <f t="shared" ref="H56" si="6">ROUND(G56*D56,2)</f>
        <v>0</v>
      </c>
      <c r="I56" s="134"/>
      <c r="J56" s="114"/>
      <c r="K56" s="114"/>
      <c r="L56" s="114"/>
      <c r="M56" s="143"/>
    </row>
    <row r="57" spans="1:13" ht="42" customHeight="1" outlineLevel="1" x14ac:dyDescent="0.35">
      <c r="A57" s="57"/>
      <c r="B57" s="2" t="s">
        <v>82</v>
      </c>
      <c r="C57" s="4" t="s">
        <v>6</v>
      </c>
      <c r="D57" s="4">
        <v>1</v>
      </c>
      <c r="E57" s="37"/>
      <c r="F57" s="4"/>
      <c r="G57" s="39">
        <v>0</v>
      </c>
      <c r="H57" s="4">
        <f>ROUND(G57*D57,2)</f>
        <v>0</v>
      </c>
      <c r="I57" s="134"/>
      <c r="J57" s="114"/>
      <c r="K57" s="114"/>
      <c r="L57" s="114"/>
      <c r="M57" s="143"/>
    </row>
    <row r="58" spans="1:13" ht="26.4" customHeight="1" outlineLevel="1" x14ac:dyDescent="0.35">
      <c r="A58" s="58"/>
      <c r="B58" s="2" t="s">
        <v>92</v>
      </c>
      <c r="C58" s="4" t="s">
        <v>6</v>
      </c>
      <c r="D58" s="4">
        <v>1</v>
      </c>
      <c r="E58" s="37"/>
      <c r="F58" s="4"/>
      <c r="G58" s="39">
        <v>0</v>
      </c>
      <c r="H58" s="4">
        <f t="shared" ref="H58" si="7">ROUND(G58*D58,2)</f>
        <v>0</v>
      </c>
      <c r="I58" s="128"/>
      <c r="J58" s="129"/>
      <c r="K58" s="129"/>
      <c r="L58" s="129"/>
      <c r="M58" s="130"/>
    </row>
    <row r="59" spans="1:13" ht="19.5" customHeight="1" outlineLevel="1" x14ac:dyDescent="0.35">
      <c r="A59" s="85">
        <v>16</v>
      </c>
      <c r="B59" s="44" t="s">
        <v>71</v>
      </c>
      <c r="C59" s="4" t="s">
        <v>6</v>
      </c>
      <c r="D59" s="4">
        <v>1</v>
      </c>
      <c r="E59" s="35">
        <v>0</v>
      </c>
      <c r="F59" s="4">
        <f>ROUND(E59*D59,2)</f>
        <v>0</v>
      </c>
      <c r="G59" s="1"/>
      <c r="H59" s="4">
        <f>H60</f>
        <v>0</v>
      </c>
      <c r="I59" s="128">
        <f>ROUND(H59+F59,2)</f>
        <v>0</v>
      </c>
      <c r="J59" s="129"/>
      <c r="K59" s="129"/>
      <c r="L59" s="129"/>
      <c r="M59" s="130"/>
    </row>
    <row r="60" spans="1:13" ht="19.5" customHeight="1" outlineLevel="1" x14ac:dyDescent="0.35">
      <c r="A60" s="58"/>
      <c r="B60" s="49" t="s">
        <v>93</v>
      </c>
      <c r="C60" s="4" t="s">
        <v>6</v>
      </c>
      <c r="D60" s="4">
        <v>1</v>
      </c>
      <c r="E60" s="37"/>
      <c r="F60" s="4"/>
      <c r="G60" s="39">
        <v>0</v>
      </c>
      <c r="H60" s="4">
        <f>ROUND(G60*D60,2)</f>
        <v>0</v>
      </c>
      <c r="I60" s="128"/>
      <c r="J60" s="129"/>
      <c r="K60" s="129"/>
      <c r="L60" s="129"/>
      <c r="M60" s="130"/>
    </row>
    <row r="61" spans="1:13" ht="35.4" customHeight="1" outlineLevel="1" x14ac:dyDescent="0.35">
      <c r="A61" s="59">
        <v>17</v>
      </c>
      <c r="B61" s="50" t="s">
        <v>94</v>
      </c>
      <c r="C61" s="4" t="s">
        <v>6</v>
      </c>
      <c r="D61" s="4">
        <v>7</v>
      </c>
      <c r="E61" s="35">
        <v>0</v>
      </c>
      <c r="F61" s="4">
        <f>ROUND(E61*D61,2)</f>
        <v>0</v>
      </c>
      <c r="G61" s="1"/>
      <c r="H61" s="4">
        <f>H62+H63+H64+H65+H66+H67+H68</f>
        <v>0</v>
      </c>
      <c r="I61" s="128">
        <f>ROUND(H61+F61,2)</f>
        <v>0</v>
      </c>
      <c r="J61" s="129"/>
      <c r="K61" s="129"/>
      <c r="L61" s="129"/>
      <c r="M61" s="130"/>
    </row>
    <row r="62" spans="1:13" ht="35.4" customHeight="1" outlineLevel="1" x14ac:dyDescent="0.35">
      <c r="A62" s="60"/>
      <c r="B62" s="2" t="s">
        <v>95</v>
      </c>
      <c r="C62" s="4" t="s">
        <v>6</v>
      </c>
      <c r="D62" s="4">
        <v>1</v>
      </c>
      <c r="E62" s="37"/>
      <c r="F62" s="4"/>
      <c r="G62" s="39">
        <v>0</v>
      </c>
      <c r="H62" s="4">
        <f>ROUND(G62*D62,2)</f>
        <v>0</v>
      </c>
      <c r="I62" s="128"/>
      <c r="J62" s="129"/>
      <c r="K62" s="129"/>
      <c r="L62" s="129"/>
      <c r="M62" s="130"/>
    </row>
    <row r="63" spans="1:13" ht="35.4" customHeight="1" outlineLevel="1" x14ac:dyDescent="0.35">
      <c r="A63" s="60"/>
      <c r="B63" s="2" t="s">
        <v>96</v>
      </c>
      <c r="C63" s="4" t="s">
        <v>6</v>
      </c>
      <c r="D63" s="4">
        <v>1</v>
      </c>
      <c r="E63" s="37"/>
      <c r="F63" s="4"/>
      <c r="G63" s="39">
        <v>0</v>
      </c>
      <c r="H63" s="4">
        <f>ROUND(G63*D63,2)</f>
        <v>0</v>
      </c>
      <c r="I63" s="128"/>
      <c r="J63" s="129"/>
      <c r="K63" s="129"/>
      <c r="L63" s="129"/>
      <c r="M63" s="130"/>
    </row>
    <row r="64" spans="1:13" ht="39.65" customHeight="1" outlineLevel="1" x14ac:dyDescent="0.35">
      <c r="A64" s="60"/>
      <c r="B64" s="2" t="s">
        <v>82</v>
      </c>
      <c r="C64" s="4" t="s">
        <v>6</v>
      </c>
      <c r="D64" s="4">
        <v>1</v>
      </c>
      <c r="E64" s="37"/>
      <c r="F64" s="4"/>
      <c r="G64" s="39">
        <v>0</v>
      </c>
      <c r="H64" s="4">
        <f>ROUND(G64*D64,2)</f>
        <v>0</v>
      </c>
      <c r="I64" s="128"/>
      <c r="J64" s="129"/>
      <c r="K64" s="129"/>
      <c r="L64" s="129"/>
      <c r="M64" s="130"/>
    </row>
    <row r="65" spans="1:13" ht="39.65" customHeight="1" outlineLevel="1" x14ac:dyDescent="0.35">
      <c r="A65" s="60"/>
      <c r="B65" s="2" t="s">
        <v>97</v>
      </c>
      <c r="C65" s="4" t="s">
        <v>6</v>
      </c>
      <c r="D65" s="4">
        <v>1</v>
      </c>
      <c r="E65" s="37"/>
      <c r="F65" s="4"/>
      <c r="G65" s="39">
        <v>0</v>
      </c>
      <c r="H65" s="4">
        <f t="shared" ref="H65:H68" si="8">ROUND(G65*D65,2)</f>
        <v>0</v>
      </c>
      <c r="I65" s="128"/>
      <c r="J65" s="129"/>
      <c r="K65" s="129"/>
      <c r="L65" s="129"/>
      <c r="M65" s="130"/>
    </row>
    <row r="66" spans="1:13" ht="34.25" customHeight="1" outlineLevel="1" x14ac:dyDescent="0.35">
      <c r="A66" s="60"/>
      <c r="B66" s="2" t="s">
        <v>99</v>
      </c>
      <c r="C66" s="4" t="s">
        <v>6</v>
      </c>
      <c r="D66" s="4">
        <v>1</v>
      </c>
      <c r="E66" s="37"/>
      <c r="F66" s="4"/>
      <c r="G66" s="39">
        <v>0</v>
      </c>
      <c r="H66" s="4">
        <f t="shared" si="8"/>
        <v>0</v>
      </c>
      <c r="I66" s="128"/>
      <c r="J66" s="129"/>
      <c r="K66" s="129"/>
      <c r="L66" s="129"/>
      <c r="M66" s="130"/>
    </row>
    <row r="67" spans="1:13" ht="36.65" customHeight="1" outlineLevel="1" x14ac:dyDescent="0.35">
      <c r="A67" s="60"/>
      <c r="B67" s="2" t="s">
        <v>78</v>
      </c>
      <c r="C67" s="4" t="s">
        <v>6</v>
      </c>
      <c r="D67" s="4">
        <v>1</v>
      </c>
      <c r="E67" s="37"/>
      <c r="F67" s="4"/>
      <c r="G67" s="39">
        <v>0</v>
      </c>
      <c r="H67" s="4">
        <f t="shared" si="8"/>
        <v>0</v>
      </c>
      <c r="I67" s="128"/>
      <c r="J67" s="129"/>
      <c r="K67" s="129"/>
      <c r="L67" s="129"/>
      <c r="M67" s="130"/>
    </row>
    <row r="68" spans="1:13" ht="38.4" customHeight="1" outlineLevel="1" x14ac:dyDescent="0.35">
      <c r="A68" s="61"/>
      <c r="B68" s="2" t="s">
        <v>79</v>
      </c>
      <c r="C68" s="4" t="s">
        <v>6</v>
      </c>
      <c r="D68" s="4">
        <v>1</v>
      </c>
      <c r="E68" s="37"/>
      <c r="F68" s="4"/>
      <c r="G68" s="39">
        <v>0</v>
      </c>
      <c r="H68" s="4">
        <f t="shared" si="8"/>
        <v>0</v>
      </c>
      <c r="I68" s="128"/>
      <c r="J68" s="129"/>
      <c r="K68" s="129"/>
      <c r="L68" s="129"/>
      <c r="M68" s="130"/>
    </row>
    <row r="69" spans="1:13" ht="30" customHeight="1" outlineLevel="1" x14ac:dyDescent="0.35">
      <c r="A69" s="81">
        <v>18</v>
      </c>
      <c r="B69" s="50" t="s">
        <v>73</v>
      </c>
      <c r="C69" s="4" t="s">
        <v>6</v>
      </c>
      <c r="D69" s="4">
        <v>6</v>
      </c>
      <c r="E69" s="35">
        <v>0</v>
      </c>
      <c r="F69" s="4">
        <f>ROUND(E69*D69,2)</f>
        <v>0</v>
      </c>
      <c r="G69" s="1"/>
      <c r="H69" s="4">
        <f>H70</f>
        <v>0</v>
      </c>
      <c r="I69" s="144">
        <f>ROUND(H69+F69,2)</f>
        <v>0</v>
      </c>
      <c r="J69" s="145"/>
      <c r="K69" s="145"/>
      <c r="L69" s="145"/>
      <c r="M69" s="145"/>
    </row>
    <row r="70" spans="1:13" ht="30" customHeight="1" outlineLevel="1" x14ac:dyDescent="0.35">
      <c r="A70" s="81"/>
      <c r="B70" s="2" t="s">
        <v>72</v>
      </c>
      <c r="C70" s="4" t="s">
        <v>6</v>
      </c>
      <c r="D70" s="4">
        <v>6</v>
      </c>
      <c r="E70" s="37"/>
      <c r="F70" s="4"/>
      <c r="G70" s="39">
        <v>0</v>
      </c>
      <c r="H70" s="4">
        <f>ROUND(G70*D70,2)</f>
        <v>0</v>
      </c>
      <c r="I70" s="144"/>
      <c r="J70" s="145"/>
      <c r="K70" s="145"/>
      <c r="L70" s="145"/>
      <c r="M70" s="145"/>
    </row>
    <row r="71" spans="1:13" ht="44.4" customHeight="1" outlineLevel="1" x14ac:dyDescent="0.35">
      <c r="A71" s="51">
        <v>19</v>
      </c>
      <c r="B71" s="50" t="s">
        <v>100</v>
      </c>
      <c r="C71" s="4" t="s">
        <v>6</v>
      </c>
      <c r="D71" s="4">
        <v>3</v>
      </c>
      <c r="E71" s="35">
        <v>0</v>
      </c>
      <c r="F71" s="4">
        <f t="shared" ref="F71" si="9">ROUND(E71*D71,2)</f>
        <v>0</v>
      </c>
      <c r="G71" s="39">
        <v>0</v>
      </c>
      <c r="H71" s="4">
        <f t="shared" ref="H71" si="10">ROUND(G71*D71,2)</f>
        <v>0</v>
      </c>
      <c r="I71" s="144">
        <f>ROUND(H71+F71,2)</f>
        <v>0</v>
      </c>
      <c r="J71" s="145"/>
      <c r="K71" s="145"/>
      <c r="L71" s="145"/>
      <c r="M71" s="145"/>
    </row>
    <row r="72" spans="1:13" ht="44.4" customHeight="1" outlineLevel="1" x14ac:dyDescent="0.35">
      <c r="A72" s="51">
        <v>20</v>
      </c>
      <c r="B72" s="50" t="s">
        <v>101</v>
      </c>
      <c r="C72" s="4" t="s">
        <v>6</v>
      </c>
      <c r="D72" s="4">
        <v>2</v>
      </c>
      <c r="E72" s="35">
        <v>0</v>
      </c>
      <c r="F72" s="4">
        <f t="shared" ref="F72" si="11">ROUND(E72*D72,2)</f>
        <v>0</v>
      </c>
      <c r="G72" s="39">
        <v>0</v>
      </c>
      <c r="H72" s="4">
        <f t="shared" ref="H72" si="12">ROUND(G72*D72,2)</f>
        <v>0</v>
      </c>
      <c r="I72" s="144">
        <f t="shared" ref="I72:I73" si="13">ROUND(H72+F72,2)</f>
        <v>0</v>
      </c>
      <c r="J72" s="145"/>
      <c r="K72" s="145"/>
      <c r="L72" s="145"/>
      <c r="M72" s="145"/>
    </row>
    <row r="73" spans="1:13" ht="37.75" customHeight="1" outlineLevel="1" x14ac:dyDescent="0.35">
      <c r="A73" s="62" t="s">
        <v>102</v>
      </c>
      <c r="B73" s="50" t="s">
        <v>106</v>
      </c>
      <c r="C73" s="4" t="s">
        <v>6</v>
      </c>
      <c r="D73" s="4">
        <v>145</v>
      </c>
      <c r="E73" s="35">
        <v>0</v>
      </c>
      <c r="F73" s="4">
        <f>ROUND(E73*D73,2)</f>
        <v>0</v>
      </c>
      <c r="G73" s="1"/>
      <c r="H73" s="4">
        <f>ROUND(H74+H75+H76+H77,2)</f>
        <v>0</v>
      </c>
      <c r="I73" s="144">
        <f t="shared" si="13"/>
        <v>0</v>
      </c>
      <c r="J73" s="145"/>
      <c r="K73" s="145"/>
      <c r="L73" s="145"/>
      <c r="M73" s="145"/>
    </row>
    <row r="74" spans="1:13" ht="37.25" customHeight="1" outlineLevel="1" x14ac:dyDescent="0.35">
      <c r="A74" s="63"/>
      <c r="B74" s="2" t="s">
        <v>103</v>
      </c>
      <c r="C74" s="4" t="s">
        <v>6</v>
      </c>
      <c r="D74" s="4">
        <v>113</v>
      </c>
      <c r="E74" s="37"/>
      <c r="F74" s="4"/>
      <c r="G74" s="39">
        <v>0</v>
      </c>
      <c r="H74" s="4">
        <f>ROUND(G74*D74,2)</f>
        <v>0</v>
      </c>
      <c r="I74" s="144"/>
      <c r="J74" s="145"/>
      <c r="K74" s="145"/>
      <c r="L74" s="145"/>
      <c r="M74" s="145"/>
    </row>
    <row r="75" spans="1:13" ht="35.4" customHeight="1" outlineLevel="1" x14ac:dyDescent="0.35">
      <c r="A75" s="63"/>
      <c r="B75" s="5" t="s">
        <v>104</v>
      </c>
      <c r="C75" s="4" t="s">
        <v>6</v>
      </c>
      <c r="D75" s="4">
        <v>13</v>
      </c>
      <c r="E75" s="37"/>
      <c r="F75" s="4"/>
      <c r="G75" s="39">
        <v>0</v>
      </c>
      <c r="H75" s="4">
        <f t="shared" ref="H75:H77" si="14">ROUND(G75*D75,2)</f>
        <v>0</v>
      </c>
      <c r="I75" s="144"/>
      <c r="J75" s="145"/>
      <c r="K75" s="145"/>
      <c r="L75" s="145"/>
      <c r="M75" s="145"/>
    </row>
    <row r="76" spans="1:13" ht="25.75" customHeight="1" outlineLevel="1" x14ac:dyDescent="0.35">
      <c r="A76" s="63"/>
      <c r="B76" s="5" t="s">
        <v>105</v>
      </c>
      <c r="C76" s="4" t="s">
        <v>6</v>
      </c>
      <c r="D76" s="4">
        <v>4</v>
      </c>
      <c r="E76" s="37"/>
      <c r="F76" s="4"/>
      <c r="G76" s="39">
        <v>0</v>
      </c>
      <c r="H76" s="4">
        <f t="shared" si="14"/>
        <v>0</v>
      </c>
      <c r="I76" s="144"/>
      <c r="J76" s="145"/>
      <c r="K76" s="145"/>
      <c r="L76" s="145"/>
      <c r="M76" s="145"/>
    </row>
    <row r="77" spans="1:13" ht="39.65" customHeight="1" outlineLevel="1" x14ac:dyDescent="0.35">
      <c r="A77" s="64"/>
      <c r="B77" s="2" t="s">
        <v>107</v>
      </c>
      <c r="C77" s="4" t="s">
        <v>6</v>
      </c>
      <c r="D77" s="4">
        <v>15</v>
      </c>
      <c r="E77" s="37"/>
      <c r="F77" s="4"/>
      <c r="G77" s="39">
        <v>0</v>
      </c>
      <c r="H77" s="4">
        <f t="shared" si="14"/>
        <v>0</v>
      </c>
      <c r="I77" s="144"/>
      <c r="J77" s="145"/>
      <c r="K77" s="145"/>
      <c r="L77" s="145"/>
      <c r="M77" s="145"/>
    </row>
    <row r="78" spans="1:13" ht="42" customHeight="1" outlineLevel="1" x14ac:dyDescent="0.35">
      <c r="A78" s="85" t="s">
        <v>111</v>
      </c>
      <c r="B78" s="50" t="s">
        <v>108</v>
      </c>
      <c r="C78" s="4" t="s">
        <v>21</v>
      </c>
      <c r="D78" s="4">
        <v>1</v>
      </c>
      <c r="E78" s="35">
        <v>0</v>
      </c>
      <c r="F78" s="4">
        <f>ROUND(E78*D78,2)</f>
        <v>0</v>
      </c>
      <c r="G78" s="1"/>
      <c r="H78" s="4">
        <f>H80+H79</f>
        <v>0</v>
      </c>
      <c r="I78" s="144">
        <f>ROUND(H78+F78,2)</f>
        <v>0</v>
      </c>
      <c r="J78" s="145"/>
      <c r="K78" s="145"/>
      <c r="L78" s="145"/>
      <c r="M78" s="145"/>
    </row>
    <row r="79" spans="1:13" ht="31.25" customHeight="1" outlineLevel="1" x14ac:dyDescent="0.35">
      <c r="A79" s="88"/>
      <c r="B79" s="49" t="s">
        <v>109</v>
      </c>
      <c r="C79" s="4" t="s">
        <v>6</v>
      </c>
      <c r="D79" s="4">
        <v>2</v>
      </c>
      <c r="E79" s="37"/>
      <c r="F79" s="4"/>
      <c r="G79" s="39">
        <v>0</v>
      </c>
      <c r="H79" s="4">
        <f>ROUND(G79*D79,2)</f>
        <v>0</v>
      </c>
      <c r="I79" s="144"/>
      <c r="J79" s="145"/>
      <c r="K79" s="145"/>
      <c r="L79" s="145"/>
      <c r="M79" s="145"/>
    </row>
    <row r="80" spans="1:13" ht="37.25" customHeight="1" outlineLevel="1" thickBot="1" x14ac:dyDescent="0.4">
      <c r="A80" s="57"/>
      <c r="B80" s="146" t="s">
        <v>110</v>
      </c>
      <c r="C80" s="25" t="s">
        <v>6</v>
      </c>
      <c r="D80" s="25">
        <v>6</v>
      </c>
      <c r="E80" s="7"/>
      <c r="F80" s="25"/>
      <c r="G80" s="147">
        <v>0</v>
      </c>
      <c r="H80" s="25">
        <f>ROUND(G80*D80,2)</f>
        <v>0</v>
      </c>
      <c r="I80" s="148"/>
      <c r="J80" s="149"/>
      <c r="K80" s="149"/>
      <c r="L80" s="149"/>
      <c r="M80" s="149"/>
    </row>
    <row r="81" spans="1:13" ht="21.65" customHeight="1" outlineLevel="1" thickBot="1" x14ac:dyDescent="0.4">
      <c r="A81" s="152" t="s">
        <v>167</v>
      </c>
      <c r="B81" s="153"/>
      <c r="C81" s="153"/>
      <c r="D81" s="153"/>
      <c r="E81" s="153"/>
      <c r="F81" s="153"/>
      <c r="G81" s="153"/>
      <c r="H81" s="153"/>
      <c r="I81" s="154"/>
      <c r="J81" s="155"/>
      <c r="K81" s="155"/>
      <c r="L81" s="155"/>
      <c r="M81" s="156"/>
    </row>
    <row r="82" spans="1:13" ht="69.650000000000006" customHeight="1" outlineLevel="1" x14ac:dyDescent="0.35">
      <c r="A82" s="150">
        <v>23</v>
      </c>
      <c r="B82" s="151" t="s">
        <v>118</v>
      </c>
      <c r="C82" s="6" t="s">
        <v>16</v>
      </c>
      <c r="D82" s="6">
        <v>1120</v>
      </c>
      <c r="E82" s="38">
        <v>0</v>
      </c>
      <c r="F82" s="6">
        <f t="shared" ref="F82:F91" si="15">ROUND(E82*D82,2)</f>
        <v>0</v>
      </c>
      <c r="G82" s="140"/>
      <c r="H82" s="6">
        <f>ROUND(H84+H85+H86+H83+H87+H88+H89,2)</f>
        <v>0</v>
      </c>
      <c r="I82" s="144">
        <f t="shared" ref="I82" si="16">ROUND(H82+F82,2)</f>
        <v>0</v>
      </c>
      <c r="J82" s="145"/>
      <c r="K82" s="145"/>
      <c r="L82" s="145"/>
      <c r="M82" s="145"/>
    </row>
    <row r="83" spans="1:13" ht="34.25" customHeight="1" outlineLevel="1" x14ac:dyDescent="0.35">
      <c r="A83" s="63"/>
      <c r="B83" s="2" t="s">
        <v>112</v>
      </c>
      <c r="C83" s="4" t="s">
        <v>16</v>
      </c>
      <c r="D83" s="4">
        <v>100</v>
      </c>
      <c r="E83" s="37"/>
      <c r="F83" s="4"/>
      <c r="G83" s="39">
        <v>0</v>
      </c>
      <c r="H83" s="4">
        <f t="shared" ref="H83:H86" si="17">ROUND(G83*D83,2)</f>
        <v>0</v>
      </c>
      <c r="I83" s="144"/>
      <c r="J83" s="145"/>
      <c r="K83" s="145"/>
      <c r="L83" s="145"/>
      <c r="M83" s="145"/>
    </row>
    <row r="84" spans="1:13" ht="37.25" customHeight="1" outlineLevel="1" x14ac:dyDescent="0.35">
      <c r="A84" s="63"/>
      <c r="B84" s="2" t="s">
        <v>113</v>
      </c>
      <c r="C84" s="4" t="s">
        <v>16</v>
      </c>
      <c r="D84" s="4">
        <v>214.2</v>
      </c>
      <c r="E84" s="37"/>
      <c r="F84" s="4"/>
      <c r="G84" s="39">
        <v>0</v>
      </c>
      <c r="H84" s="4">
        <f t="shared" si="17"/>
        <v>0</v>
      </c>
      <c r="I84" s="144"/>
      <c r="J84" s="145"/>
      <c r="K84" s="145"/>
      <c r="L84" s="145"/>
      <c r="M84" s="145"/>
    </row>
    <row r="85" spans="1:13" ht="37.75" customHeight="1" outlineLevel="1" x14ac:dyDescent="0.35">
      <c r="A85" s="63"/>
      <c r="B85" s="2" t="s">
        <v>114</v>
      </c>
      <c r="C85" s="4" t="s">
        <v>16</v>
      </c>
      <c r="D85" s="4">
        <v>642.6</v>
      </c>
      <c r="E85" s="37"/>
      <c r="F85" s="4"/>
      <c r="G85" s="39">
        <v>0</v>
      </c>
      <c r="H85" s="4">
        <f t="shared" si="17"/>
        <v>0</v>
      </c>
      <c r="I85" s="144"/>
      <c r="J85" s="145"/>
      <c r="K85" s="145"/>
      <c r="L85" s="145"/>
      <c r="M85" s="145"/>
    </row>
    <row r="86" spans="1:13" ht="36.65" customHeight="1" outlineLevel="1" x14ac:dyDescent="0.35">
      <c r="A86" s="63"/>
      <c r="B86" s="2" t="s">
        <v>115</v>
      </c>
      <c r="C86" s="4" t="s">
        <v>16</v>
      </c>
      <c r="D86" s="4">
        <v>56.1</v>
      </c>
      <c r="E86" s="37"/>
      <c r="F86" s="4"/>
      <c r="G86" s="39">
        <v>0</v>
      </c>
      <c r="H86" s="4">
        <f t="shared" si="17"/>
        <v>0</v>
      </c>
      <c r="I86" s="144"/>
      <c r="J86" s="145"/>
      <c r="K86" s="145"/>
      <c r="L86" s="145"/>
      <c r="M86" s="145"/>
    </row>
    <row r="87" spans="1:13" ht="36.65" customHeight="1" outlineLevel="1" x14ac:dyDescent="0.35">
      <c r="A87" s="63"/>
      <c r="B87" s="2" t="s">
        <v>116</v>
      </c>
      <c r="C87" s="4" t="s">
        <v>16</v>
      </c>
      <c r="D87" s="4">
        <v>10.199999999999999</v>
      </c>
      <c r="E87" s="37"/>
      <c r="F87" s="4"/>
      <c r="G87" s="39">
        <v>0</v>
      </c>
      <c r="H87" s="4">
        <f t="shared" ref="H87" si="18">ROUND(G87*D87,2)</f>
        <v>0</v>
      </c>
      <c r="I87" s="144"/>
      <c r="J87" s="145"/>
      <c r="K87" s="145"/>
      <c r="L87" s="145"/>
      <c r="M87" s="145"/>
    </row>
    <row r="88" spans="1:13" ht="54.65" customHeight="1" outlineLevel="1" x14ac:dyDescent="0.35">
      <c r="A88" s="64"/>
      <c r="B88" s="2" t="s">
        <v>117</v>
      </c>
      <c r="C88" s="4" t="s">
        <v>16</v>
      </c>
      <c r="D88" s="4">
        <v>96.9</v>
      </c>
      <c r="E88" s="37"/>
      <c r="F88" s="4"/>
      <c r="G88" s="39">
        <v>0</v>
      </c>
      <c r="H88" s="4">
        <f>ROUND(G88*D88,2)</f>
        <v>0</v>
      </c>
      <c r="I88" s="144"/>
      <c r="J88" s="145"/>
      <c r="K88" s="145"/>
      <c r="L88" s="145"/>
      <c r="M88" s="145"/>
    </row>
    <row r="89" spans="1:13" ht="70.75" customHeight="1" outlineLevel="1" x14ac:dyDescent="0.35">
      <c r="A89" s="62">
        <v>24</v>
      </c>
      <c r="B89" s="50" t="s">
        <v>119</v>
      </c>
      <c r="C89" s="4" t="s">
        <v>16</v>
      </c>
      <c r="D89" s="4">
        <v>372.3</v>
      </c>
      <c r="E89" s="35">
        <v>0</v>
      </c>
      <c r="F89" s="4">
        <f>ROUND(E89*D89,2)</f>
        <v>0</v>
      </c>
      <c r="G89" s="1"/>
      <c r="H89" s="4">
        <f>ROUND(H90,2)</f>
        <v>0</v>
      </c>
      <c r="I89" s="144">
        <f>ROUND(H89+F89,2)</f>
        <v>0</v>
      </c>
      <c r="J89" s="145"/>
      <c r="K89" s="145"/>
      <c r="L89" s="145"/>
      <c r="M89" s="145"/>
    </row>
    <row r="90" spans="1:13" ht="39" customHeight="1" outlineLevel="1" x14ac:dyDescent="0.35">
      <c r="A90" s="89"/>
      <c r="B90" s="5" t="s">
        <v>120</v>
      </c>
      <c r="C90" s="4" t="s">
        <v>16</v>
      </c>
      <c r="D90" s="4">
        <v>372.3</v>
      </c>
      <c r="E90" s="37"/>
      <c r="F90" s="4"/>
      <c r="G90" s="39">
        <v>0</v>
      </c>
      <c r="H90" s="4">
        <f>ROUND(G90*D90,2)</f>
        <v>0</v>
      </c>
      <c r="I90" s="144"/>
      <c r="J90" s="145"/>
      <c r="K90" s="145"/>
      <c r="L90" s="145"/>
      <c r="M90" s="145"/>
    </row>
    <row r="91" spans="1:13" ht="39" customHeight="1" outlineLevel="1" x14ac:dyDescent="0.35">
      <c r="A91" s="62">
        <v>25</v>
      </c>
      <c r="B91" s="50" t="s">
        <v>121</v>
      </c>
      <c r="C91" s="4" t="s">
        <v>16</v>
      </c>
      <c r="D91" s="4">
        <v>200</v>
      </c>
      <c r="E91" s="35">
        <v>0</v>
      </c>
      <c r="F91" s="4">
        <f t="shared" si="15"/>
        <v>0</v>
      </c>
      <c r="G91" s="1"/>
      <c r="H91" s="4">
        <f>ROUND(H92,2)</f>
        <v>0</v>
      </c>
      <c r="I91" s="144">
        <f>ROUND(H91+F91,2)</f>
        <v>0</v>
      </c>
      <c r="J91" s="145"/>
      <c r="K91" s="145"/>
      <c r="L91" s="145"/>
      <c r="M91" s="145"/>
    </row>
    <row r="92" spans="1:13" ht="23.4" customHeight="1" outlineLevel="1" x14ac:dyDescent="0.35">
      <c r="A92" s="90"/>
      <c r="B92" s="5" t="s">
        <v>122</v>
      </c>
      <c r="C92" s="4" t="s">
        <v>16</v>
      </c>
      <c r="D92" s="4">
        <v>200</v>
      </c>
      <c r="E92" s="37"/>
      <c r="F92" s="4"/>
      <c r="G92" s="39">
        <v>0</v>
      </c>
      <c r="H92" s="4">
        <f>ROUND(G92*D92,2)</f>
        <v>0</v>
      </c>
      <c r="I92" s="144"/>
      <c r="J92" s="145"/>
      <c r="K92" s="145"/>
      <c r="L92" s="145"/>
      <c r="M92" s="145"/>
    </row>
    <row r="93" spans="1:13" ht="39" customHeight="1" outlineLevel="1" x14ac:dyDescent="0.35">
      <c r="A93" s="62" t="s">
        <v>123</v>
      </c>
      <c r="B93" s="50" t="s">
        <v>124</v>
      </c>
      <c r="C93" s="4" t="s">
        <v>16</v>
      </c>
      <c r="D93" s="4">
        <v>400</v>
      </c>
      <c r="E93" s="35">
        <v>0</v>
      </c>
      <c r="F93" s="4">
        <f>ROUND(E93*D93,2)</f>
        <v>0</v>
      </c>
      <c r="G93" s="1"/>
      <c r="H93" s="4">
        <f>ROUND(+H96+H94+H95+H97,2)</f>
        <v>0</v>
      </c>
      <c r="I93" s="144">
        <f>ROUND(H93+F93,2)</f>
        <v>0</v>
      </c>
      <c r="J93" s="145"/>
      <c r="K93" s="145"/>
      <c r="L93" s="145"/>
      <c r="M93" s="145"/>
    </row>
    <row r="94" spans="1:13" ht="39" customHeight="1" outlineLevel="1" x14ac:dyDescent="0.35">
      <c r="A94" s="86"/>
      <c r="B94" s="2" t="s">
        <v>128</v>
      </c>
      <c r="C94" s="4" t="s">
        <v>16</v>
      </c>
      <c r="D94" s="4">
        <v>190</v>
      </c>
      <c r="E94" s="37"/>
      <c r="F94" s="4"/>
      <c r="G94" s="39"/>
      <c r="H94" s="4">
        <f>ROUND(G94*D94,2)</f>
        <v>0</v>
      </c>
      <c r="I94" s="144"/>
      <c r="J94" s="145"/>
      <c r="K94" s="145"/>
      <c r="L94" s="145"/>
      <c r="M94" s="145"/>
    </row>
    <row r="95" spans="1:13" ht="39" customHeight="1" outlineLevel="1" x14ac:dyDescent="0.35">
      <c r="A95" s="86"/>
      <c r="B95" s="2" t="s">
        <v>125</v>
      </c>
      <c r="C95" s="4" t="s">
        <v>6</v>
      </c>
      <c r="D95" s="4">
        <v>190</v>
      </c>
      <c r="E95" s="37"/>
      <c r="F95" s="4"/>
      <c r="G95" s="39"/>
      <c r="H95" s="4">
        <f t="shared" ref="H95:H97" si="19">ROUND(G95*D95,2)</f>
        <v>0</v>
      </c>
      <c r="I95" s="144"/>
      <c r="J95" s="145"/>
      <c r="K95" s="145"/>
      <c r="L95" s="145"/>
      <c r="M95" s="145"/>
    </row>
    <row r="96" spans="1:13" ht="39" customHeight="1" outlineLevel="1" x14ac:dyDescent="0.35">
      <c r="A96" s="86"/>
      <c r="B96" s="2" t="s">
        <v>127</v>
      </c>
      <c r="C96" s="4" t="s">
        <v>16</v>
      </c>
      <c r="D96" s="4">
        <v>210</v>
      </c>
      <c r="E96" s="37"/>
      <c r="F96" s="4"/>
      <c r="G96" s="39"/>
      <c r="H96" s="4">
        <f t="shared" si="19"/>
        <v>0</v>
      </c>
      <c r="I96" s="144"/>
      <c r="J96" s="145"/>
      <c r="K96" s="145"/>
      <c r="L96" s="145"/>
      <c r="M96" s="145"/>
    </row>
    <row r="97" spans="1:13" ht="39" customHeight="1" outlineLevel="1" x14ac:dyDescent="0.35">
      <c r="A97" s="87"/>
      <c r="B97" s="2" t="s">
        <v>126</v>
      </c>
      <c r="C97" s="4" t="s">
        <v>6</v>
      </c>
      <c r="D97" s="4">
        <v>210</v>
      </c>
      <c r="E97" s="37"/>
      <c r="F97" s="4"/>
      <c r="G97" s="39"/>
      <c r="H97" s="4">
        <f t="shared" si="19"/>
        <v>0</v>
      </c>
      <c r="I97" s="144"/>
      <c r="J97" s="145"/>
      <c r="K97" s="145"/>
      <c r="L97" s="145"/>
      <c r="M97" s="145"/>
    </row>
    <row r="98" spans="1:13" ht="39" customHeight="1" outlineLevel="1" x14ac:dyDescent="0.35">
      <c r="A98" s="62" t="s">
        <v>129</v>
      </c>
      <c r="B98" s="50" t="s">
        <v>130</v>
      </c>
      <c r="C98" s="4" t="s">
        <v>6</v>
      </c>
      <c r="D98" s="4">
        <v>102</v>
      </c>
      <c r="E98" s="35"/>
      <c r="F98" s="4">
        <f>ROUND(E98*D98,2)</f>
        <v>0</v>
      </c>
      <c r="G98" s="1"/>
      <c r="H98" s="4">
        <f>ROUND(H99+H100,2)</f>
        <v>0</v>
      </c>
      <c r="I98" s="144">
        <f>ROUND(H98+F98,2)</f>
        <v>0</v>
      </c>
      <c r="J98" s="145"/>
      <c r="K98" s="145"/>
      <c r="L98" s="145"/>
      <c r="M98" s="145"/>
    </row>
    <row r="99" spans="1:13" ht="39" customHeight="1" outlineLevel="1" x14ac:dyDescent="0.35">
      <c r="A99" s="86"/>
      <c r="B99" s="2" t="s">
        <v>131</v>
      </c>
      <c r="C99" s="4" t="s">
        <v>6</v>
      </c>
      <c r="D99" s="4">
        <v>89</v>
      </c>
      <c r="E99" s="37"/>
      <c r="F99" s="4"/>
      <c r="G99" s="39">
        <v>0</v>
      </c>
      <c r="H99" s="4">
        <f>ROUND(G99*D99,2)</f>
        <v>0</v>
      </c>
      <c r="I99" s="144"/>
      <c r="J99" s="145"/>
      <c r="K99" s="145"/>
      <c r="L99" s="145"/>
      <c r="M99" s="145"/>
    </row>
    <row r="100" spans="1:13" ht="37.25" customHeight="1" outlineLevel="1" x14ac:dyDescent="0.35">
      <c r="A100" s="87"/>
      <c r="B100" s="2" t="s">
        <v>132</v>
      </c>
      <c r="C100" s="4" t="s">
        <v>6</v>
      </c>
      <c r="D100" s="4">
        <v>17</v>
      </c>
      <c r="E100" s="37"/>
      <c r="F100" s="4"/>
      <c r="G100" s="39">
        <v>0</v>
      </c>
      <c r="H100" s="4">
        <f>ROUND(G100*D100,2)</f>
        <v>0</v>
      </c>
      <c r="I100" s="144"/>
      <c r="J100" s="145"/>
      <c r="K100" s="145"/>
      <c r="L100" s="145"/>
      <c r="M100" s="145"/>
    </row>
    <row r="101" spans="1:13" ht="37.25" customHeight="1" outlineLevel="1" x14ac:dyDescent="0.35">
      <c r="A101" s="54">
        <v>28</v>
      </c>
      <c r="B101" s="30" t="s">
        <v>142</v>
      </c>
      <c r="C101" s="25" t="s">
        <v>16</v>
      </c>
      <c r="D101" s="25">
        <v>170</v>
      </c>
      <c r="E101" s="35">
        <v>0</v>
      </c>
      <c r="F101" s="4">
        <f>ROUND(E101*D101,2)</f>
        <v>0</v>
      </c>
      <c r="G101" s="39">
        <v>0</v>
      </c>
      <c r="H101" s="4">
        <f>ROUND(G101*D101,2)</f>
        <v>0</v>
      </c>
      <c r="I101" s="144">
        <f>ROUND(H101+F101,2)</f>
        <v>0</v>
      </c>
      <c r="J101" s="145"/>
      <c r="K101" s="145"/>
      <c r="L101" s="145"/>
      <c r="M101" s="145"/>
    </row>
    <row r="102" spans="1:13" ht="37.25" customHeight="1" outlineLevel="1" x14ac:dyDescent="0.35">
      <c r="A102" s="62">
        <v>28</v>
      </c>
      <c r="B102" s="30" t="s">
        <v>138</v>
      </c>
      <c r="C102" s="25" t="s">
        <v>16</v>
      </c>
      <c r="D102" s="25">
        <v>132</v>
      </c>
      <c r="E102" s="35"/>
      <c r="F102" s="4">
        <f>ROUND(E102*D102,2)</f>
        <v>0</v>
      </c>
      <c r="G102" s="1"/>
      <c r="H102" s="4">
        <f>ROUND(H103+H104+H105+H106+H107,2)</f>
        <v>0</v>
      </c>
      <c r="I102" s="144">
        <f>ROUND(H102+F102,2)</f>
        <v>0</v>
      </c>
      <c r="J102" s="145"/>
      <c r="K102" s="145"/>
      <c r="L102" s="145"/>
      <c r="M102" s="145"/>
    </row>
    <row r="103" spans="1:13" ht="39" customHeight="1" outlineLevel="1" x14ac:dyDescent="0.35">
      <c r="A103" s="86"/>
      <c r="B103" s="52" t="s">
        <v>133</v>
      </c>
      <c r="C103" s="25" t="s">
        <v>16</v>
      </c>
      <c r="D103" s="25">
        <v>132</v>
      </c>
      <c r="E103" s="37"/>
      <c r="F103" s="25"/>
      <c r="G103" s="39"/>
      <c r="H103" s="4">
        <f>ROUND(G103*D103,2)</f>
        <v>0</v>
      </c>
      <c r="I103" s="144"/>
      <c r="J103" s="145"/>
      <c r="K103" s="145"/>
      <c r="L103" s="145"/>
      <c r="M103" s="145"/>
    </row>
    <row r="104" spans="1:13" ht="46.25" customHeight="1" outlineLevel="1" x14ac:dyDescent="0.35">
      <c r="A104" s="86"/>
      <c r="B104" s="52" t="s">
        <v>134</v>
      </c>
      <c r="C104" s="25" t="s">
        <v>21</v>
      </c>
      <c r="D104" s="25">
        <v>5</v>
      </c>
      <c r="E104" s="37"/>
      <c r="F104" s="25"/>
      <c r="G104" s="39"/>
      <c r="H104" s="4">
        <f>ROUND(G104*D104,2)</f>
        <v>0</v>
      </c>
      <c r="I104" s="144"/>
      <c r="J104" s="145"/>
      <c r="K104" s="145"/>
      <c r="L104" s="145"/>
      <c r="M104" s="145"/>
    </row>
    <row r="105" spans="1:13" ht="39" customHeight="1" outlineLevel="1" x14ac:dyDescent="0.35">
      <c r="A105" s="86"/>
      <c r="B105" s="52" t="s">
        <v>135</v>
      </c>
      <c r="C105" s="25" t="s">
        <v>21</v>
      </c>
      <c r="D105" s="25">
        <v>15</v>
      </c>
      <c r="E105" s="37"/>
      <c r="F105" s="25"/>
      <c r="G105" s="39"/>
      <c r="H105" s="4">
        <f t="shared" ref="H105:H107" si="20">ROUND(G105*D105,2)</f>
        <v>0</v>
      </c>
      <c r="I105" s="144"/>
      <c r="J105" s="145"/>
      <c r="K105" s="145"/>
      <c r="L105" s="145"/>
      <c r="M105" s="145"/>
    </row>
    <row r="106" spans="1:13" ht="40.75" customHeight="1" outlineLevel="1" x14ac:dyDescent="0.35">
      <c r="A106" s="86"/>
      <c r="B106" s="52" t="s">
        <v>136</v>
      </c>
      <c r="C106" s="25" t="s">
        <v>21</v>
      </c>
      <c r="D106" s="25">
        <v>1</v>
      </c>
      <c r="E106" s="37"/>
      <c r="F106" s="25"/>
      <c r="G106" s="39"/>
      <c r="H106" s="4">
        <f t="shared" si="20"/>
        <v>0</v>
      </c>
      <c r="I106" s="144"/>
      <c r="J106" s="145"/>
      <c r="K106" s="145"/>
      <c r="L106" s="145"/>
      <c r="M106" s="145"/>
    </row>
    <row r="107" spans="1:13" ht="34.25" customHeight="1" outlineLevel="1" thickBot="1" x14ac:dyDescent="0.4">
      <c r="A107" s="87"/>
      <c r="B107" s="52" t="s">
        <v>137</v>
      </c>
      <c r="C107" s="25" t="s">
        <v>21</v>
      </c>
      <c r="D107" s="25">
        <v>1</v>
      </c>
      <c r="E107" s="37"/>
      <c r="F107" s="25"/>
      <c r="G107" s="39"/>
      <c r="H107" s="4">
        <f t="shared" si="20"/>
        <v>0</v>
      </c>
      <c r="I107" s="148"/>
      <c r="J107" s="149"/>
      <c r="K107" s="149"/>
      <c r="L107" s="149"/>
      <c r="M107" s="149"/>
    </row>
    <row r="108" spans="1:13" s="15" customFormat="1" ht="22.5" customHeight="1" outlineLevel="1" thickBot="1" x14ac:dyDescent="0.4">
      <c r="A108" s="65" t="s">
        <v>45</v>
      </c>
      <c r="B108" s="66"/>
      <c r="C108" s="66"/>
      <c r="D108" s="66"/>
      <c r="E108" s="32"/>
      <c r="F108" s="19">
        <f>SUM(F36+F41+F50+F52+F59+F61+F69+F71+F72+F73+F78+F82+F89+F91+F93+F98+F102+F101)</f>
        <v>0</v>
      </c>
      <c r="G108" s="34"/>
      <c r="H108" s="19">
        <f>SUM(H36+H41+H50+H52+H59+H61+H69+H71+H72+H73+H78+H82+H89+H91+H93+H98+H102+H101)</f>
        <v>0</v>
      </c>
      <c r="I108" s="138">
        <f>H108+F108</f>
        <v>0</v>
      </c>
      <c r="J108" s="118"/>
      <c r="K108" s="118"/>
      <c r="L108" s="118"/>
      <c r="M108" s="119"/>
    </row>
    <row r="109" spans="1:13" ht="19.5" customHeight="1" outlineLevel="1" thickBot="1" x14ac:dyDescent="0.4">
      <c r="A109" s="95" t="s">
        <v>47</v>
      </c>
      <c r="B109" s="157"/>
      <c r="C109" s="157"/>
      <c r="D109" s="157"/>
      <c r="E109" s="157"/>
      <c r="F109" s="157"/>
      <c r="G109" s="157"/>
      <c r="H109" s="157"/>
      <c r="I109" s="157"/>
      <c r="J109" s="118"/>
      <c r="K109" s="118"/>
      <c r="L109" s="118"/>
      <c r="M109" s="119"/>
    </row>
    <row r="110" spans="1:13" ht="21" customHeight="1" outlineLevel="1" thickBot="1" x14ac:dyDescent="0.4">
      <c r="A110" s="141" t="s">
        <v>165</v>
      </c>
      <c r="B110" s="158"/>
      <c r="C110" s="158"/>
      <c r="D110" s="158"/>
      <c r="E110" s="158"/>
      <c r="F110" s="158"/>
      <c r="G110" s="158"/>
      <c r="H110" s="158"/>
      <c r="I110" s="158"/>
      <c r="J110" s="122"/>
      <c r="K110" s="122"/>
      <c r="L110" s="122"/>
      <c r="M110" s="123"/>
    </row>
    <row r="111" spans="1:13" ht="24.65" customHeight="1" outlineLevel="1" x14ac:dyDescent="0.35">
      <c r="A111" s="53">
        <v>29</v>
      </c>
      <c r="B111" s="12" t="s">
        <v>40</v>
      </c>
      <c r="C111" s="6" t="s">
        <v>6</v>
      </c>
      <c r="D111" s="6">
        <v>2</v>
      </c>
      <c r="E111" s="38">
        <v>0</v>
      </c>
      <c r="F111" s="6">
        <v>0</v>
      </c>
      <c r="G111" s="6"/>
      <c r="H111" s="6"/>
      <c r="I111" s="159">
        <f>ROUND(H111+F111,2)</f>
        <v>0</v>
      </c>
      <c r="J111" s="160"/>
      <c r="K111" s="160"/>
      <c r="L111" s="160"/>
      <c r="M111" s="160"/>
    </row>
    <row r="112" spans="1:13" ht="36" customHeight="1" outlineLevel="1" x14ac:dyDescent="0.35">
      <c r="A112" s="51">
        <v>30</v>
      </c>
      <c r="B112" s="3" t="s">
        <v>48</v>
      </c>
      <c r="C112" s="4" t="s">
        <v>6</v>
      </c>
      <c r="D112" s="4">
        <v>2</v>
      </c>
      <c r="E112" s="35">
        <v>550</v>
      </c>
      <c r="F112" s="4">
        <v>0</v>
      </c>
      <c r="G112" s="1"/>
      <c r="H112" s="4"/>
      <c r="I112" s="144">
        <f t="shared" ref="I112:I116" si="21">ROUND(H112+F112,2)</f>
        <v>0</v>
      </c>
      <c r="J112" s="145"/>
      <c r="K112" s="145"/>
      <c r="L112" s="145"/>
      <c r="M112" s="145"/>
    </row>
    <row r="113" spans="1:13" ht="35.4" customHeight="1" outlineLevel="1" x14ac:dyDescent="0.35">
      <c r="A113" s="51">
        <v>31</v>
      </c>
      <c r="B113" s="3" t="s">
        <v>50</v>
      </c>
      <c r="C113" s="4" t="s">
        <v>4</v>
      </c>
      <c r="D113" s="4">
        <v>20</v>
      </c>
      <c r="E113" s="35">
        <v>90</v>
      </c>
      <c r="F113" s="4">
        <v>0</v>
      </c>
      <c r="G113" s="1"/>
      <c r="H113" s="4"/>
      <c r="I113" s="144">
        <f t="shared" si="21"/>
        <v>0</v>
      </c>
      <c r="J113" s="145"/>
      <c r="K113" s="145"/>
      <c r="L113" s="145"/>
      <c r="M113" s="145"/>
    </row>
    <row r="114" spans="1:13" ht="37.25" customHeight="1" outlineLevel="1" x14ac:dyDescent="0.35">
      <c r="A114" s="51">
        <v>32</v>
      </c>
      <c r="B114" s="3" t="s">
        <v>49</v>
      </c>
      <c r="C114" s="4" t="s">
        <v>4</v>
      </c>
      <c r="D114" s="4">
        <v>20</v>
      </c>
      <c r="E114" s="35">
        <v>1250</v>
      </c>
      <c r="F114" s="4">
        <v>0</v>
      </c>
      <c r="G114" s="1"/>
      <c r="H114" s="4"/>
      <c r="I114" s="144">
        <f t="shared" si="21"/>
        <v>0</v>
      </c>
      <c r="J114" s="145"/>
      <c r="K114" s="145"/>
      <c r="L114" s="145"/>
      <c r="M114" s="145"/>
    </row>
    <row r="115" spans="1:13" ht="42" customHeight="1" outlineLevel="1" x14ac:dyDescent="0.35">
      <c r="A115" s="51">
        <v>33</v>
      </c>
      <c r="B115" s="3" t="s">
        <v>51</v>
      </c>
      <c r="C115" s="4" t="s">
        <v>13</v>
      </c>
      <c r="D115" s="4">
        <v>15</v>
      </c>
      <c r="E115" s="35">
        <v>90</v>
      </c>
      <c r="F115" s="4">
        <v>0</v>
      </c>
      <c r="G115" s="1"/>
      <c r="H115" s="4"/>
      <c r="I115" s="144">
        <f t="shared" si="21"/>
        <v>0</v>
      </c>
      <c r="J115" s="145"/>
      <c r="K115" s="145"/>
      <c r="L115" s="145"/>
      <c r="M115" s="145"/>
    </row>
    <row r="116" spans="1:13" ht="42" customHeight="1" outlineLevel="1" thickBot="1" x14ac:dyDescent="0.4">
      <c r="A116" s="51">
        <v>34</v>
      </c>
      <c r="B116" s="31" t="s">
        <v>52</v>
      </c>
      <c r="C116" s="25" t="s">
        <v>4</v>
      </c>
      <c r="D116" s="25">
        <v>48</v>
      </c>
      <c r="E116" s="36">
        <v>91</v>
      </c>
      <c r="F116" s="25">
        <v>0</v>
      </c>
      <c r="G116" s="26"/>
      <c r="H116" s="25"/>
      <c r="I116" s="148">
        <f t="shared" si="21"/>
        <v>0</v>
      </c>
      <c r="J116" s="149"/>
      <c r="K116" s="149"/>
      <c r="L116" s="149"/>
      <c r="M116" s="149"/>
    </row>
    <row r="117" spans="1:13" ht="31.25" customHeight="1" outlineLevel="1" thickBot="1" x14ac:dyDescent="0.4">
      <c r="A117" s="65" t="s">
        <v>46</v>
      </c>
      <c r="B117" s="66"/>
      <c r="C117" s="66"/>
      <c r="D117" s="66"/>
      <c r="E117" s="32"/>
      <c r="F117" s="19">
        <f>SUM(F111:F116)</f>
        <v>0</v>
      </c>
      <c r="G117" s="33"/>
      <c r="H117" s="19">
        <f>SUM(H111:H116)</f>
        <v>0</v>
      </c>
      <c r="I117" s="138">
        <f>SUM(I93:I116)</f>
        <v>0</v>
      </c>
      <c r="J117" s="118"/>
      <c r="K117" s="118"/>
      <c r="L117" s="118"/>
      <c r="M117" s="119"/>
    </row>
    <row r="118" spans="1:13" ht="42" customHeight="1" outlineLevel="1" x14ac:dyDescent="0.35">
      <c r="A118" s="53">
        <v>35</v>
      </c>
      <c r="B118" s="12" t="s">
        <v>53</v>
      </c>
      <c r="C118" s="6" t="s">
        <v>4</v>
      </c>
      <c r="D118" s="6">
        <v>48</v>
      </c>
      <c r="E118" s="38"/>
      <c r="F118" s="6">
        <f t="shared" ref="F118" si="22">ROUND(E118*D118,2)</f>
        <v>0</v>
      </c>
      <c r="G118" s="40">
        <v>0</v>
      </c>
      <c r="H118" s="4">
        <f>ROUND(G118*D118,2)</f>
        <v>0</v>
      </c>
      <c r="I118" s="159">
        <f>ROUND(H118+F118,2)</f>
        <v>0</v>
      </c>
      <c r="J118" s="160"/>
      <c r="K118" s="160"/>
      <c r="L118" s="160"/>
      <c r="M118" s="160"/>
    </row>
    <row r="119" spans="1:13" ht="45.65" customHeight="1" outlineLevel="1" x14ac:dyDescent="0.35">
      <c r="A119" s="51">
        <v>36</v>
      </c>
      <c r="B119" s="3" t="s">
        <v>54</v>
      </c>
      <c r="C119" s="4" t="s">
        <v>4</v>
      </c>
      <c r="D119" s="4">
        <v>48</v>
      </c>
      <c r="E119" s="35"/>
      <c r="F119" s="4">
        <f t="shared" ref="F119" si="23">ROUND(E119*D119,2)</f>
        <v>0</v>
      </c>
      <c r="G119" s="41">
        <v>0</v>
      </c>
      <c r="H119" s="4">
        <f t="shared" ref="H119:H129" si="24">ROUND(G119*D119,2)</f>
        <v>0</v>
      </c>
      <c r="I119" s="159">
        <f t="shared" ref="I119:I130" si="25">ROUND(H119+F119,2)</f>
        <v>0</v>
      </c>
      <c r="J119" s="160"/>
      <c r="K119" s="160"/>
      <c r="L119" s="160"/>
      <c r="M119" s="160"/>
    </row>
    <row r="120" spans="1:13" ht="40.25" customHeight="1" outlineLevel="1" x14ac:dyDescent="0.35">
      <c r="A120" s="53">
        <v>37</v>
      </c>
      <c r="B120" s="3" t="s">
        <v>55</v>
      </c>
      <c r="C120" s="4" t="s">
        <v>42</v>
      </c>
      <c r="D120" s="4">
        <v>48</v>
      </c>
      <c r="E120" s="35"/>
      <c r="F120" s="4">
        <f t="shared" ref="F120" si="26">ROUND(E120*D120,2)</f>
        <v>0</v>
      </c>
      <c r="G120" s="41">
        <v>0</v>
      </c>
      <c r="H120" s="4">
        <f t="shared" si="24"/>
        <v>0</v>
      </c>
      <c r="I120" s="159">
        <f t="shared" si="25"/>
        <v>0</v>
      </c>
      <c r="J120" s="160"/>
      <c r="K120" s="160"/>
      <c r="L120" s="160"/>
      <c r="M120" s="160"/>
    </row>
    <row r="121" spans="1:13" ht="53" customHeight="1" outlineLevel="1" x14ac:dyDescent="0.35">
      <c r="A121" s="51">
        <v>38</v>
      </c>
      <c r="B121" s="3" t="s">
        <v>56</v>
      </c>
      <c r="C121" s="4" t="s">
        <v>4</v>
      </c>
      <c r="D121" s="4">
        <v>48</v>
      </c>
      <c r="E121" s="35"/>
      <c r="F121" s="4">
        <f t="shared" ref="F121:F126" si="27">ROUND(E121*D121,2)</f>
        <v>0</v>
      </c>
      <c r="G121" s="41">
        <v>0</v>
      </c>
      <c r="H121" s="4">
        <f t="shared" si="24"/>
        <v>0</v>
      </c>
      <c r="I121" s="159">
        <f t="shared" si="25"/>
        <v>0</v>
      </c>
      <c r="J121" s="160"/>
      <c r="K121" s="160"/>
      <c r="L121" s="160"/>
      <c r="M121" s="160"/>
    </row>
    <row r="122" spans="1:13" ht="35.4" customHeight="1" outlineLevel="1" x14ac:dyDescent="0.35">
      <c r="A122" s="53">
        <v>39</v>
      </c>
      <c r="B122" s="3" t="s">
        <v>57</v>
      </c>
      <c r="C122" s="4" t="s">
        <v>42</v>
      </c>
      <c r="D122" s="4">
        <v>10</v>
      </c>
      <c r="E122" s="35"/>
      <c r="F122" s="4">
        <f t="shared" si="27"/>
        <v>0</v>
      </c>
      <c r="G122" s="41">
        <v>0</v>
      </c>
      <c r="H122" s="4">
        <f t="shared" si="24"/>
        <v>0</v>
      </c>
      <c r="I122" s="159">
        <f t="shared" si="25"/>
        <v>0</v>
      </c>
      <c r="J122" s="160"/>
      <c r="K122" s="160"/>
      <c r="L122" s="160"/>
      <c r="M122" s="160"/>
    </row>
    <row r="123" spans="1:13" ht="36.65" customHeight="1" outlineLevel="1" x14ac:dyDescent="0.35">
      <c r="A123" s="51">
        <v>40</v>
      </c>
      <c r="B123" s="3" t="s">
        <v>43</v>
      </c>
      <c r="C123" s="4" t="s">
        <v>4</v>
      </c>
      <c r="D123" s="4">
        <v>1100</v>
      </c>
      <c r="E123" s="35"/>
      <c r="F123" s="4">
        <f t="shared" si="27"/>
        <v>0</v>
      </c>
      <c r="G123" s="41">
        <v>0</v>
      </c>
      <c r="H123" s="4">
        <f t="shared" si="24"/>
        <v>0</v>
      </c>
      <c r="I123" s="159">
        <f t="shared" si="25"/>
        <v>0</v>
      </c>
      <c r="J123" s="160"/>
      <c r="K123" s="160"/>
      <c r="L123" s="160"/>
      <c r="M123" s="160"/>
    </row>
    <row r="124" spans="1:13" ht="36.65" customHeight="1" outlineLevel="1" x14ac:dyDescent="0.35">
      <c r="A124" s="53">
        <v>41</v>
      </c>
      <c r="B124" s="3" t="s">
        <v>44</v>
      </c>
      <c r="C124" s="4" t="s">
        <v>42</v>
      </c>
      <c r="D124" s="4">
        <v>1100</v>
      </c>
      <c r="E124" s="35"/>
      <c r="F124" s="4">
        <f t="shared" ref="F124" si="28">ROUND(E124*D124,2)</f>
        <v>0</v>
      </c>
      <c r="G124" s="41">
        <v>0</v>
      </c>
      <c r="H124" s="4">
        <f t="shared" si="24"/>
        <v>0</v>
      </c>
      <c r="I124" s="159">
        <f t="shared" si="25"/>
        <v>0</v>
      </c>
      <c r="J124" s="160"/>
      <c r="K124" s="160"/>
      <c r="L124" s="160"/>
      <c r="M124" s="160"/>
    </row>
    <row r="125" spans="1:13" ht="36.65" customHeight="1" outlineLevel="1" x14ac:dyDescent="0.35">
      <c r="A125" s="51">
        <v>42</v>
      </c>
      <c r="B125" s="3" t="s">
        <v>58</v>
      </c>
      <c r="C125" s="4" t="s">
        <v>6</v>
      </c>
      <c r="D125" s="4">
        <v>25</v>
      </c>
      <c r="E125" s="35"/>
      <c r="F125" s="4">
        <f t="shared" ref="F125" si="29">ROUND(E125*D125,2)</f>
        <v>0</v>
      </c>
      <c r="G125" s="41">
        <v>0</v>
      </c>
      <c r="H125" s="4">
        <f t="shared" si="24"/>
        <v>0</v>
      </c>
      <c r="I125" s="159">
        <f t="shared" si="25"/>
        <v>0</v>
      </c>
      <c r="J125" s="160"/>
      <c r="K125" s="160"/>
      <c r="L125" s="160"/>
      <c r="M125" s="160"/>
    </row>
    <row r="126" spans="1:13" ht="42" customHeight="1" outlineLevel="1" x14ac:dyDescent="0.35">
      <c r="A126" s="53">
        <v>43</v>
      </c>
      <c r="B126" s="3" t="s">
        <v>59</v>
      </c>
      <c r="C126" s="4" t="s">
        <v>6</v>
      </c>
      <c r="D126" s="4">
        <v>25</v>
      </c>
      <c r="E126" s="35"/>
      <c r="F126" s="4">
        <f t="shared" si="27"/>
        <v>0</v>
      </c>
      <c r="G126" s="41">
        <v>0</v>
      </c>
      <c r="H126" s="4">
        <f t="shared" si="24"/>
        <v>0</v>
      </c>
      <c r="I126" s="159">
        <f t="shared" si="25"/>
        <v>0</v>
      </c>
      <c r="J126" s="160"/>
      <c r="K126" s="160"/>
      <c r="L126" s="160"/>
      <c r="M126" s="160"/>
    </row>
    <row r="127" spans="1:13" ht="42" customHeight="1" outlineLevel="1" x14ac:dyDescent="0.35">
      <c r="A127" s="51">
        <v>44</v>
      </c>
      <c r="B127" s="3" t="s">
        <v>60</v>
      </c>
      <c r="C127" s="4" t="s">
        <v>4</v>
      </c>
      <c r="D127" s="4">
        <v>5</v>
      </c>
      <c r="E127" s="35"/>
      <c r="F127" s="4">
        <f t="shared" ref="F127" si="30">ROUND(E127*D127,2)</f>
        <v>0</v>
      </c>
      <c r="G127" s="41">
        <v>0</v>
      </c>
      <c r="H127" s="4">
        <f t="shared" si="24"/>
        <v>0</v>
      </c>
      <c r="I127" s="159">
        <f t="shared" si="25"/>
        <v>0</v>
      </c>
      <c r="J127" s="160"/>
      <c r="K127" s="160"/>
      <c r="L127" s="160"/>
      <c r="M127" s="160"/>
    </row>
    <row r="128" spans="1:13" ht="42" customHeight="1" outlineLevel="1" x14ac:dyDescent="0.35">
      <c r="A128" s="51">
        <v>45</v>
      </c>
      <c r="B128" s="3" t="s">
        <v>61</v>
      </c>
      <c r="C128" s="4" t="s">
        <v>42</v>
      </c>
      <c r="D128" s="4">
        <v>10</v>
      </c>
      <c r="E128" s="35"/>
      <c r="F128" s="4">
        <f t="shared" ref="F128:F129" si="31">ROUND(E128*D128,2)</f>
        <v>0</v>
      </c>
      <c r="G128" s="41">
        <v>0</v>
      </c>
      <c r="H128" s="4">
        <f t="shared" si="24"/>
        <v>0</v>
      </c>
      <c r="I128" s="159">
        <f t="shared" si="25"/>
        <v>0</v>
      </c>
      <c r="J128" s="160"/>
      <c r="K128" s="160"/>
      <c r="L128" s="160"/>
      <c r="M128" s="160"/>
    </row>
    <row r="129" spans="1:15" ht="42" customHeight="1" outlineLevel="1" x14ac:dyDescent="0.35">
      <c r="A129" s="53">
        <v>46</v>
      </c>
      <c r="B129" s="3" t="s">
        <v>139</v>
      </c>
      <c r="C129" s="4" t="s">
        <v>6</v>
      </c>
      <c r="D129" s="4">
        <v>120</v>
      </c>
      <c r="E129" s="35"/>
      <c r="F129" s="4">
        <f t="shared" si="31"/>
        <v>0</v>
      </c>
      <c r="G129" s="41">
        <v>0</v>
      </c>
      <c r="H129" s="4">
        <f t="shared" si="24"/>
        <v>0</v>
      </c>
      <c r="I129" s="159">
        <f t="shared" si="25"/>
        <v>0</v>
      </c>
      <c r="J129" s="160"/>
      <c r="K129" s="160"/>
      <c r="L129" s="160"/>
      <c r="M129" s="160"/>
    </row>
    <row r="130" spans="1:15" ht="84.65" customHeight="1" outlineLevel="1" thickBot="1" x14ac:dyDescent="0.4">
      <c r="A130" s="161">
        <v>47</v>
      </c>
      <c r="B130" s="31" t="s">
        <v>41</v>
      </c>
      <c r="C130" s="25" t="s">
        <v>42</v>
      </c>
      <c r="D130" s="25">
        <v>20</v>
      </c>
      <c r="E130" s="36"/>
      <c r="F130" s="25">
        <f t="shared" ref="F130" si="32">ROUND(E130*D130,2)</f>
        <v>0</v>
      </c>
      <c r="G130" s="47">
        <v>0</v>
      </c>
      <c r="H130" s="25">
        <f>ROUND(G130*D130,2)</f>
        <v>0</v>
      </c>
      <c r="I130" s="162">
        <f t="shared" si="25"/>
        <v>0</v>
      </c>
      <c r="J130" s="163"/>
      <c r="K130" s="163"/>
      <c r="L130" s="163"/>
      <c r="M130" s="163"/>
    </row>
    <row r="131" spans="1:15" ht="24.65" customHeight="1" outlineLevel="1" thickBot="1" x14ac:dyDescent="0.4">
      <c r="A131" s="141" t="s">
        <v>19</v>
      </c>
      <c r="B131" s="158"/>
      <c r="C131" s="158"/>
      <c r="D131" s="158"/>
      <c r="E131" s="158"/>
      <c r="F131" s="158"/>
      <c r="G131" s="158"/>
      <c r="H131" s="158"/>
      <c r="I131" s="158"/>
      <c r="J131" s="122"/>
      <c r="K131" s="122"/>
      <c r="L131" s="122"/>
      <c r="M131" s="123"/>
    </row>
    <row r="132" spans="1:15" ht="86.4" customHeight="1" outlineLevel="1" thickBot="1" x14ac:dyDescent="0.4">
      <c r="A132" s="28"/>
      <c r="B132" s="12" t="s">
        <v>140</v>
      </c>
      <c r="C132" s="6" t="s">
        <v>6</v>
      </c>
      <c r="D132" s="6">
        <v>2</v>
      </c>
      <c r="E132" s="38"/>
      <c r="F132" s="6">
        <f>ROUND(E132*D132,2)</f>
        <v>0</v>
      </c>
      <c r="G132" s="40"/>
      <c r="H132" s="6">
        <f>ROUND(G132*D132,2)</f>
        <v>0</v>
      </c>
      <c r="I132" s="162">
        <f>ROUND(H132+F132,2)</f>
        <v>0</v>
      </c>
      <c r="J132" s="163"/>
      <c r="K132" s="163"/>
      <c r="L132" s="163"/>
      <c r="M132" s="163"/>
    </row>
    <row r="133" spans="1:15" ht="37.75" customHeight="1" outlineLevel="1" thickBot="1" x14ac:dyDescent="0.4">
      <c r="A133" s="65" t="s">
        <v>62</v>
      </c>
      <c r="B133" s="66"/>
      <c r="C133" s="66"/>
      <c r="D133" s="66"/>
      <c r="E133" s="32"/>
      <c r="F133" s="19">
        <f>SUM(F100:F132)</f>
        <v>0</v>
      </c>
      <c r="G133" s="34"/>
      <c r="H133" s="19">
        <f>SUM(H110:H132)+H100</f>
        <v>0</v>
      </c>
      <c r="I133" s="138">
        <f>H133+F133</f>
        <v>0</v>
      </c>
      <c r="J133" s="118"/>
      <c r="K133" s="118"/>
      <c r="L133" s="118"/>
      <c r="M133" s="119"/>
    </row>
    <row r="134" spans="1:15" ht="30" customHeight="1" outlineLevel="1" thickBot="1" x14ac:dyDescent="0.4">
      <c r="A134" s="141" t="s">
        <v>63</v>
      </c>
      <c r="B134" s="142"/>
      <c r="C134" s="142"/>
      <c r="D134" s="142"/>
      <c r="E134" s="142"/>
      <c r="F134" s="142"/>
      <c r="G134" s="142"/>
      <c r="H134" s="142"/>
      <c r="I134" s="142"/>
      <c r="J134" s="118"/>
      <c r="K134" s="118"/>
      <c r="L134" s="118"/>
      <c r="M134" s="119"/>
    </row>
    <row r="135" spans="1:15" ht="129" customHeight="1" outlineLevel="1" thickBot="1" x14ac:dyDescent="0.4">
      <c r="A135" s="27"/>
      <c r="B135" s="10" t="s">
        <v>141</v>
      </c>
      <c r="C135" s="42" t="s">
        <v>15</v>
      </c>
      <c r="D135" s="13">
        <v>1</v>
      </c>
      <c r="E135" s="43">
        <v>0</v>
      </c>
      <c r="F135" s="6">
        <f>ROUND(E135*D135,2)</f>
        <v>0</v>
      </c>
      <c r="G135" s="11"/>
      <c r="H135" s="11"/>
      <c r="I135" s="162">
        <f>ROUND(H135+F135,2)</f>
        <v>0</v>
      </c>
      <c r="J135" s="163"/>
      <c r="K135" s="163"/>
      <c r="L135" s="163"/>
      <c r="M135" s="163"/>
    </row>
    <row r="136" spans="1:15" ht="37.75" customHeight="1" outlineLevel="1" thickBot="1" x14ac:dyDescent="0.4">
      <c r="A136" s="67" t="s">
        <v>64</v>
      </c>
      <c r="B136" s="68"/>
      <c r="C136" s="68"/>
      <c r="D136" s="68"/>
      <c r="E136" s="7"/>
      <c r="F136" s="7">
        <f>F135</f>
        <v>0</v>
      </c>
      <c r="G136" s="7"/>
      <c r="H136" s="8"/>
      <c r="I136" s="138">
        <f>I135</f>
        <v>0</v>
      </c>
      <c r="J136" s="118"/>
      <c r="K136" s="118"/>
      <c r="L136" s="118"/>
      <c r="M136" s="119"/>
    </row>
    <row r="137" spans="1:15" ht="43.75" customHeight="1" outlineLevel="1" thickBot="1" x14ac:dyDescent="0.4">
      <c r="A137" s="141" t="s">
        <v>65</v>
      </c>
      <c r="B137" s="164"/>
      <c r="C137" s="164"/>
      <c r="D137" s="164"/>
      <c r="E137" s="164"/>
      <c r="F137" s="164"/>
      <c r="G137" s="164"/>
      <c r="H137" s="164"/>
      <c r="I137" s="164"/>
      <c r="J137" s="118"/>
      <c r="K137" s="118"/>
      <c r="L137" s="118"/>
      <c r="M137" s="119"/>
    </row>
    <row r="138" spans="1:15" ht="86.4" customHeight="1" outlineLevel="1" thickBot="1" x14ac:dyDescent="0.4">
      <c r="A138" s="28" t="s">
        <v>23</v>
      </c>
      <c r="B138" s="9" t="s">
        <v>66</v>
      </c>
      <c r="C138" s="6" t="s">
        <v>14</v>
      </c>
      <c r="D138" s="6">
        <v>2</v>
      </c>
      <c r="E138" s="38"/>
      <c r="F138" s="6">
        <f>ROUND(E138*D138,2)</f>
        <v>0</v>
      </c>
      <c r="G138" s="6"/>
      <c r="H138" s="6"/>
      <c r="I138" s="162">
        <f>F138</f>
        <v>0</v>
      </c>
      <c r="J138" s="163"/>
      <c r="K138" s="163"/>
      <c r="L138" s="163"/>
      <c r="M138" s="163"/>
    </row>
    <row r="139" spans="1:15" ht="45" customHeight="1" outlineLevel="1" thickBot="1" x14ac:dyDescent="0.4">
      <c r="A139" s="67" t="s">
        <v>67</v>
      </c>
      <c r="B139" s="68"/>
      <c r="C139" s="68"/>
      <c r="D139" s="68"/>
      <c r="E139" s="7"/>
      <c r="F139" s="7">
        <f>F138</f>
        <v>0</v>
      </c>
      <c r="G139" s="7"/>
      <c r="H139" s="8"/>
      <c r="I139" s="138">
        <f>F139</f>
        <v>0</v>
      </c>
      <c r="J139" s="118"/>
      <c r="K139" s="118"/>
      <c r="L139" s="118"/>
      <c r="M139" s="119"/>
    </row>
    <row r="140" spans="1:15" s="15" customFormat="1" ht="22.5" customHeight="1" outlineLevel="1" thickBot="1" x14ac:dyDescent="0.4">
      <c r="A140" s="190" t="s">
        <v>188</v>
      </c>
      <c r="B140" s="191"/>
      <c r="C140" s="191"/>
      <c r="D140" s="191"/>
      <c r="E140" s="191"/>
      <c r="F140" s="191"/>
      <c r="G140" s="191"/>
      <c r="H140" s="192"/>
      <c r="I140" s="193">
        <f>I139+I136+I133+I108</f>
        <v>0</v>
      </c>
      <c r="J140" s="194"/>
      <c r="K140" s="194"/>
      <c r="L140" s="194"/>
      <c r="M140" s="195"/>
    </row>
    <row r="141" spans="1:15" ht="24.75" customHeight="1" thickBot="1" x14ac:dyDescent="0.4">
      <c r="A141" s="20"/>
      <c r="B141" s="73" t="s">
        <v>11</v>
      </c>
      <c r="C141" s="73"/>
      <c r="D141" s="73"/>
      <c r="E141" s="73"/>
      <c r="F141" s="73"/>
      <c r="G141" s="73"/>
      <c r="H141" s="74"/>
      <c r="I141" s="165">
        <f>I140</f>
        <v>0</v>
      </c>
      <c r="J141" s="118"/>
      <c r="K141" s="118"/>
      <c r="L141" s="118"/>
      <c r="M141" s="119"/>
    </row>
    <row r="142" spans="1:15" ht="24.75" customHeight="1" thickBot="1" x14ac:dyDescent="0.4">
      <c r="A142" s="21"/>
      <c r="B142" s="75" t="s">
        <v>68</v>
      </c>
      <c r="C142" s="75"/>
      <c r="D142" s="75"/>
      <c r="E142" s="75"/>
      <c r="F142" s="75"/>
      <c r="G142" s="75"/>
      <c r="H142" s="76"/>
      <c r="I142" s="166">
        <f>I141*I144%</f>
        <v>0</v>
      </c>
      <c r="J142" s="118"/>
      <c r="K142" s="118"/>
      <c r="L142" s="118"/>
      <c r="M142" s="119"/>
      <c r="N142" s="15" t="s">
        <v>168</v>
      </c>
      <c r="O142" s="15"/>
    </row>
    <row r="143" spans="1:15" ht="24.75" customHeight="1" thickBot="1" x14ac:dyDescent="0.4">
      <c r="A143" s="22"/>
      <c r="B143" s="77" t="s">
        <v>12</v>
      </c>
      <c r="C143" s="77"/>
      <c r="D143" s="77"/>
      <c r="E143" s="77"/>
      <c r="F143" s="77"/>
      <c r="G143" s="77"/>
      <c r="H143" s="78"/>
      <c r="I143" s="141">
        <f>I142+I141</f>
        <v>0</v>
      </c>
      <c r="J143" s="118"/>
      <c r="K143" s="118"/>
      <c r="L143" s="118"/>
      <c r="M143" s="119"/>
    </row>
    <row r="144" spans="1:15" ht="30" customHeight="1" thickBot="1" x14ac:dyDescent="0.4">
      <c r="A144" s="210"/>
      <c r="B144" s="167" t="s">
        <v>69</v>
      </c>
      <c r="C144" s="168"/>
      <c r="D144" s="168" t="s">
        <v>30</v>
      </c>
      <c r="E144" s="217"/>
      <c r="F144" s="218"/>
      <c r="G144" s="168"/>
      <c r="H144" s="168" t="s">
        <v>143</v>
      </c>
      <c r="I144" s="179">
        <v>0</v>
      </c>
      <c r="J144" s="118"/>
      <c r="K144" s="118"/>
      <c r="L144" s="118"/>
      <c r="M144" s="119"/>
    </row>
    <row r="145" spans="1:13" ht="30" customHeight="1" thickBot="1" x14ac:dyDescent="0.4">
      <c r="A145" s="23"/>
      <c r="B145" s="169"/>
      <c r="C145" s="173">
        <v>0</v>
      </c>
      <c r="D145" s="174" t="s">
        <v>29</v>
      </c>
      <c r="E145" s="175"/>
      <c r="F145" s="176"/>
      <c r="G145" s="55"/>
      <c r="H145" s="55"/>
      <c r="I145" s="24"/>
      <c r="J145" s="211"/>
      <c r="K145" s="211"/>
      <c r="L145" s="211"/>
      <c r="M145" s="212"/>
    </row>
    <row r="146" spans="1:13" ht="36.65" customHeight="1" thickBot="1" x14ac:dyDescent="0.4">
      <c r="A146" s="23"/>
      <c r="B146" s="169"/>
      <c r="C146" s="55"/>
      <c r="D146" s="55"/>
      <c r="E146" s="55"/>
      <c r="F146" s="170"/>
      <c r="G146" s="55"/>
      <c r="H146" s="55"/>
      <c r="I146" s="24"/>
      <c r="J146" s="211"/>
      <c r="K146" s="211"/>
      <c r="L146" s="211"/>
      <c r="M146" s="212"/>
    </row>
    <row r="147" spans="1:13" ht="34.25" customHeight="1" thickBot="1" x14ac:dyDescent="0.4">
      <c r="A147" s="23"/>
      <c r="B147" s="169"/>
      <c r="C147" s="177">
        <v>0</v>
      </c>
      <c r="D147" s="174" t="s">
        <v>31</v>
      </c>
      <c r="E147" s="175"/>
      <c r="F147" s="176"/>
      <c r="G147" s="55"/>
      <c r="H147" s="55"/>
      <c r="I147" s="24"/>
      <c r="J147" s="211"/>
      <c r="K147" s="211"/>
      <c r="L147" s="211"/>
      <c r="M147" s="212"/>
    </row>
    <row r="148" spans="1:13" ht="39" customHeight="1" thickBot="1" x14ac:dyDescent="0.4">
      <c r="A148" s="23"/>
      <c r="B148" s="169"/>
      <c r="C148" s="55"/>
      <c r="D148" s="55"/>
      <c r="E148" s="55"/>
      <c r="F148" s="170"/>
      <c r="G148" s="55"/>
      <c r="H148" s="55"/>
      <c r="I148" s="24"/>
      <c r="J148" s="211"/>
      <c r="K148" s="211"/>
      <c r="L148" s="211"/>
      <c r="M148" s="212"/>
    </row>
    <row r="149" spans="1:13" ht="29" customHeight="1" thickBot="1" x14ac:dyDescent="0.4">
      <c r="A149" s="213"/>
      <c r="B149" s="171"/>
      <c r="C149" s="178">
        <v>0</v>
      </c>
      <c r="D149" s="174" t="s">
        <v>70</v>
      </c>
      <c r="E149" s="175"/>
      <c r="F149" s="176"/>
      <c r="G149" s="172"/>
      <c r="H149" s="172"/>
      <c r="I149" s="214"/>
      <c r="J149" s="215"/>
      <c r="K149" s="215"/>
      <c r="L149" s="215"/>
      <c r="M149" s="216"/>
    </row>
    <row r="150" spans="1:13" ht="35.5" customHeight="1" x14ac:dyDescent="0.35">
      <c r="A150" s="197">
        <v>10</v>
      </c>
      <c r="B150" s="180" t="s">
        <v>169</v>
      </c>
      <c r="C150" s="180"/>
      <c r="D150" s="180"/>
      <c r="E150" s="180"/>
      <c r="F150" s="180"/>
      <c r="G150" s="180"/>
      <c r="H150" s="181" t="s">
        <v>170</v>
      </c>
      <c r="I150" s="219" t="s">
        <v>146</v>
      </c>
      <c r="J150" s="219"/>
      <c r="K150" s="219"/>
      <c r="L150" s="219"/>
      <c r="M150" s="220"/>
    </row>
    <row r="151" spans="1:13" ht="40" customHeight="1" x14ac:dyDescent="0.35">
      <c r="A151" s="197">
        <v>11</v>
      </c>
      <c r="B151" s="183" t="s">
        <v>171</v>
      </c>
      <c r="C151" s="183"/>
      <c r="D151" s="183"/>
      <c r="E151" s="183"/>
      <c r="F151" s="183"/>
      <c r="G151" s="183"/>
      <c r="H151" s="184" t="s">
        <v>172</v>
      </c>
      <c r="I151" s="182" t="s">
        <v>146</v>
      </c>
      <c r="J151" s="182"/>
      <c r="K151" s="182"/>
      <c r="L151" s="182"/>
      <c r="M151" s="198"/>
    </row>
    <row r="152" spans="1:13" ht="64.5" customHeight="1" x14ac:dyDescent="0.35">
      <c r="A152" s="197">
        <v>12</v>
      </c>
      <c r="B152" s="183" t="s">
        <v>185</v>
      </c>
      <c r="C152" s="183"/>
      <c r="D152" s="183"/>
      <c r="E152" s="183"/>
      <c r="F152" s="183"/>
      <c r="G152" s="183"/>
      <c r="H152" s="185" t="s">
        <v>173</v>
      </c>
      <c r="I152" s="182" t="s">
        <v>146</v>
      </c>
      <c r="J152" s="182"/>
      <c r="K152" s="182"/>
      <c r="L152" s="182"/>
      <c r="M152" s="198"/>
    </row>
    <row r="153" spans="1:13" ht="72" customHeight="1" x14ac:dyDescent="0.35">
      <c r="A153" s="197">
        <v>13</v>
      </c>
      <c r="B153" s="183" t="s">
        <v>186</v>
      </c>
      <c r="C153" s="183"/>
      <c r="D153" s="183"/>
      <c r="E153" s="183"/>
      <c r="F153" s="183"/>
      <c r="G153" s="183"/>
      <c r="H153" s="185" t="s">
        <v>174</v>
      </c>
      <c r="I153" s="182" t="s">
        <v>146</v>
      </c>
      <c r="J153" s="182"/>
      <c r="K153" s="182"/>
      <c r="L153" s="182"/>
      <c r="M153" s="198"/>
    </row>
    <row r="154" spans="1:13" ht="25" customHeight="1" x14ac:dyDescent="0.35">
      <c r="A154" s="197">
        <v>14</v>
      </c>
      <c r="B154" s="183" t="s">
        <v>175</v>
      </c>
      <c r="C154" s="183"/>
      <c r="D154" s="183"/>
      <c r="E154" s="183"/>
      <c r="F154" s="183"/>
      <c r="G154" s="183"/>
      <c r="H154" s="185" t="s">
        <v>176</v>
      </c>
      <c r="I154" s="182" t="s">
        <v>146</v>
      </c>
      <c r="J154" s="182"/>
      <c r="K154" s="182"/>
      <c r="L154" s="182"/>
      <c r="M154" s="198"/>
    </row>
    <row r="155" spans="1:13" ht="40" customHeight="1" thickBot="1" x14ac:dyDescent="0.4">
      <c r="A155" s="199">
        <v>15</v>
      </c>
      <c r="B155" s="200" t="s">
        <v>187</v>
      </c>
      <c r="C155" s="200"/>
      <c r="D155" s="200"/>
      <c r="E155" s="200"/>
      <c r="F155" s="200"/>
      <c r="G155" s="200"/>
      <c r="H155" s="201" t="s">
        <v>177</v>
      </c>
      <c r="I155" s="202" t="s">
        <v>146</v>
      </c>
      <c r="J155" s="202"/>
      <c r="K155" s="202"/>
      <c r="L155" s="202"/>
      <c r="M155" s="203"/>
    </row>
    <row r="156" spans="1:13" ht="17.5" x14ac:dyDescent="0.35">
      <c r="A156" s="196" t="s">
        <v>178</v>
      </c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</row>
    <row r="157" spans="1:13" ht="43" customHeight="1" x14ac:dyDescent="0.4">
      <c r="A157" s="204" t="s">
        <v>179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</row>
    <row r="158" spans="1:13" ht="43" customHeight="1" x14ac:dyDescent="0.4">
      <c r="A158" s="207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</row>
    <row r="159" spans="1:13" ht="18" x14ac:dyDescent="0.4">
      <c r="A159" s="186"/>
      <c r="B159" s="187"/>
      <c r="C159" s="187"/>
      <c r="D159" s="187"/>
      <c r="E159" s="187"/>
      <c r="F159" s="187"/>
      <c r="H159" s="187"/>
      <c r="J159" s="91" t="s">
        <v>180</v>
      </c>
      <c r="K159" s="208"/>
      <c r="L159" s="187"/>
      <c r="M159" s="187"/>
    </row>
    <row r="160" spans="1:13" ht="18" x14ac:dyDescent="0.4">
      <c r="A160" s="186"/>
      <c r="B160" s="91" t="s">
        <v>181</v>
      </c>
      <c r="C160" s="91"/>
      <c r="D160" s="91"/>
      <c r="E160" s="91"/>
      <c r="F160" s="91"/>
      <c r="H160" s="186" t="s">
        <v>182</v>
      </c>
      <c r="J160" s="91"/>
      <c r="K160" s="209" t="s">
        <v>183</v>
      </c>
      <c r="L160" s="209"/>
    </row>
    <row r="161" spans="1:13" ht="18" x14ac:dyDescent="0.4">
      <c r="A161" s="91"/>
      <c r="B161" s="91"/>
      <c r="C161" s="91"/>
      <c r="D161" s="91"/>
      <c r="E161" s="91"/>
      <c r="F161" s="91"/>
      <c r="G161" s="91"/>
      <c r="H161" s="188"/>
      <c r="I161" s="91"/>
      <c r="J161" s="91"/>
      <c r="K161" s="91"/>
      <c r="L161" s="91"/>
      <c r="M161" s="91"/>
    </row>
    <row r="162" spans="1:13" ht="18" x14ac:dyDescent="0.4">
      <c r="A162" s="91"/>
      <c r="B162" s="91"/>
      <c r="C162" s="91"/>
      <c r="D162" s="91"/>
      <c r="E162" s="91"/>
      <c r="F162" s="91"/>
      <c r="G162" s="91"/>
      <c r="H162" s="188"/>
      <c r="I162" s="91"/>
      <c r="J162" s="91"/>
      <c r="K162" s="91"/>
      <c r="L162" s="91"/>
      <c r="M162" s="91"/>
    </row>
    <row r="163" spans="1:13" ht="18" x14ac:dyDescent="0.4">
      <c r="A163" s="189" t="s">
        <v>184</v>
      </c>
      <c r="B163" s="91"/>
      <c r="C163" s="91"/>
      <c r="D163" s="91"/>
      <c r="E163" s="91"/>
      <c r="F163" s="91"/>
      <c r="G163" s="91"/>
      <c r="H163" s="188"/>
      <c r="I163" s="91"/>
      <c r="J163" s="91"/>
      <c r="K163" s="91"/>
      <c r="L163" s="91"/>
      <c r="M163" s="91"/>
    </row>
  </sheetData>
  <mergeCells count="201">
    <mergeCell ref="A156:M156"/>
    <mergeCell ref="A157:M157"/>
    <mergeCell ref="D147:F147"/>
    <mergeCell ref="D149:F149"/>
    <mergeCell ref="B153:G153"/>
    <mergeCell ref="I153:M153"/>
    <mergeCell ref="B154:G154"/>
    <mergeCell ref="I154:M154"/>
    <mergeCell ref="B155:G155"/>
    <mergeCell ref="I155:M155"/>
    <mergeCell ref="B150:G150"/>
    <mergeCell ref="I150:M150"/>
    <mergeCell ref="B151:G151"/>
    <mergeCell ref="I151:M151"/>
    <mergeCell ref="B152:G152"/>
    <mergeCell ref="I152:M152"/>
    <mergeCell ref="I142:M142"/>
    <mergeCell ref="I143:M143"/>
    <mergeCell ref="I144:M144"/>
    <mergeCell ref="A137:M137"/>
    <mergeCell ref="I138:M138"/>
    <mergeCell ref="I139:M139"/>
    <mergeCell ref="I140:M140"/>
    <mergeCell ref="I141:M141"/>
    <mergeCell ref="I132:M132"/>
    <mergeCell ref="I133:M133"/>
    <mergeCell ref="A134:M134"/>
    <mergeCell ref="I135:M135"/>
    <mergeCell ref="I136:M136"/>
    <mergeCell ref="I127:M127"/>
    <mergeCell ref="I128:M128"/>
    <mergeCell ref="I129:M129"/>
    <mergeCell ref="I130:M130"/>
    <mergeCell ref="A131:M131"/>
    <mergeCell ref="I122:M122"/>
    <mergeCell ref="I123:M123"/>
    <mergeCell ref="I124:M124"/>
    <mergeCell ref="I125:M125"/>
    <mergeCell ref="I126:M126"/>
    <mergeCell ref="I106:M106"/>
    <mergeCell ref="I107:M107"/>
    <mergeCell ref="I108:M108"/>
    <mergeCell ref="A109:M109"/>
    <mergeCell ref="A110:M110"/>
    <mergeCell ref="I101:M101"/>
    <mergeCell ref="I102:M102"/>
    <mergeCell ref="I103:M103"/>
    <mergeCell ref="I104:M104"/>
    <mergeCell ref="I105:M105"/>
    <mergeCell ref="I96:M96"/>
    <mergeCell ref="I97:M97"/>
    <mergeCell ref="I98:M98"/>
    <mergeCell ref="I99:M99"/>
    <mergeCell ref="I100:M100"/>
    <mergeCell ref="I91:M91"/>
    <mergeCell ref="I92:M92"/>
    <mergeCell ref="I93:M93"/>
    <mergeCell ref="I94:M94"/>
    <mergeCell ref="I95:M95"/>
    <mergeCell ref="I86:M86"/>
    <mergeCell ref="I87:M87"/>
    <mergeCell ref="I88:M88"/>
    <mergeCell ref="I89:M89"/>
    <mergeCell ref="I90:M90"/>
    <mergeCell ref="A81:M81"/>
    <mergeCell ref="I82:M82"/>
    <mergeCell ref="I83:M83"/>
    <mergeCell ref="I84:M84"/>
    <mergeCell ref="I85:M85"/>
    <mergeCell ref="I76:M76"/>
    <mergeCell ref="I77:M77"/>
    <mergeCell ref="I78:M78"/>
    <mergeCell ref="I79:M79"/>
    <mergeCell ref="I80:M80"/>
    <mergeCell ref="I71:M71"/>
    <mergeCell ref="I72:M72"/>
    <mergeCell ref="I73:M73"/>
    <mergeCell ref="I74:M74"/>
    <mergeCell ref="I75:M75"/>
    <mergeCell ref="I66:M66"/>
    <mergeCell ref="I67:M67"/>
    <mergeCell ref="I68:M68"/>
    <mergeCell ref="I69:M69"/>
    <mergeCell ref="I70:M70"/>
    <mergeCell ref="I50:M50"/>
    <mergeCell ref="I51:M51"/>
    <mergeCell ref="I52:M52"/>
    <mergeCell ref="I53:M53"/>
    <mergeCell ref="I54:M54"/>
    <mergeCell ref="I45:M45"/>
    <mergeCell ref="I46:M46"/>
    <mergeCell ref="I47:M47"/>
    <mergeCell ref="I48:M48"/>
    <mergeCell ref="I49:M49"/>
    <mergeCell ref="I40:M40"/>
    <mergeCell ref="I41:M41"/>
    <mergeCell ref="I42:M42"/>
    <mergeCell ref="I43:M43"/>
    <mergeCell ref="I44:M44"/>
    <mergeCell ref="A35:M35"/>
    <mergeCell ref="I36:M36"/>
    <mergeCell ref="I37:M37"/>
    <mergeCell ref="I38:M38"/>
    <mergeCell ref="I39:M39"/>
    <mergeCell ref="I30:M30"/>
    <mergeCell ref="I31:M31"/>
    <mergeCell ref="I32:M32"/>
    <mergeCell ref="I33:M33"/>
    <mergeCell ref="I34:M34"/>
    <mergeCell ref="I25:M25"/>
    <mergeCell ref="I26:M26"/>
    <mergeCell ref="I27:M27"/>
    <mergeCell ref="I28:M28"/>
    <mergeCell ref="I29:M29"/>
    <mergeCell ref="A20:M20"/>
    <mergeCell ref="A21:M21"/>
    <mergeCell ref="I22:M22"/>
    <mergeCell ref="I23:M23"/>
    <mergeCell ref="I24:M24"/>
    <mergeCell ref="C4:H4"/>
    <mergeCell ref="B15:G15"/>
    <mergeCell ref="I15:M15"/>
    <mergeCell ref="B16:G16"/>
    <mergeCell ref="I16:M16"/>
    <mergeCell ref="I10:M10"/>
    <mergeCell ref="B11:G11"/>
    <mergeCell ref="I11:M11"/>
    <mergeCell ref="B12:G12"/>
    <mergeCell ref="I12:M12"/>
    <mergeCell ref="B13:G13"/>
    <mergeCell ref="I13:M13"/>
    <mergeCell ref="B14:G14"/>
    <mergeCell ref="I14:M14"/>
    <mergeCell ref="A93:A97"/>
    <mergeCell ref="A98:A100"/>
    <mergeCell ref="A102:A107"/>
    <mergeCell ref="A78:A80"/>
    <mergeCell ref="A82:A88"/>
    <mergeCell ref="A89:A90"/>
    <mergeCell ref="A91:A92"/>
    <mergeCell ref="D145:F145"/>
    <mergeCell ref="A117:D117"/>
    <mergeCell ref="I1:M1"/>
    <mergeCell ref="A2:M3"/>
    <mergeCell ref="C5:H5"/>
    <mergeCell ref="I7:M7"/>
    <mergeCell ref="B8:G8"/>
    <mergeCell ref="I8:M8"/>
    <mergeCell ref="B9:G9"/>
    <mergeCell ref="I9:M9"/>
    <mergeCell ref="B10:G10"/>
    <mergeCell ref="B141:H141"/>
    <mergeCell ref="B142:H142"/>
    <mergeCell ref="B143:H143"/>
    <mergeCell ref="I111:M111"/>
    <mergeCell ref="I112:M112"/>
    <mergeCell ref="I113:M113"/>
    <mergeCell ref="I114:M114"/>
    <mergeCell ref="I115:M115"/>
    <mergeCell ref="I116:M116"/>
    <mergeCell ref="I117:M117"/>
    <mergeCell ref="I118:M118"/>
    <mergeCell ref="I119:M119"/>
    <mergeCell ref="I120:M120"/>
    <mergeCell ref="I121:M121"/>
    <mergeCell ref="A17:A18"/>
    <mergeCell ref="B17:B18"/>
    <mergeCell ref="C17:C18"/>
    <mergeCell ref="D17:D18"/>
    <mergeCell ref="E17:E18"/>
    <mergeCell ref="I17:M18"/>
    <mergeCell ref="A19:M19"/>
    <mergeCell ref="A136:D136"/>
    <mergeCell ref="A139:D139"/>
    <mergeCell ref="A140:H140"/>
    <mergeCell ref="F17:F18"/>
    <mergeCell ref="G17:G18"/>
    <mergeCell ref="H17:H18"/>
    <mergeCell ref="A69:A70"/>
    <mergeCell ref="A108:D108"/>
    <mergeCell ref="A32:A33"/>
    <mergeCell ref="A34:D34"/>
    <mergeCell ref="A50:A51"/>
    <mergeCell ref="A59:A60"/>
    <mergeCell ref="A36:A40"/>
    <mergeCell ref="A41:A49"/>
    <mergeCell ref="A52:A58"/>
    <mergeCell ref="A61:A68"/>
    <mergeCell ref="A73:A77"/>
    <mergeCell ref="A133:D133"/>
    <mergeCell ref="I55:M55"/>
    <mergeCell ref="I56:M56"/>
    <mergeCell ref="I57:M57"/>
    <mergeCell ref="I58:M58"/>
    <mergeCell ref="I59:M59"/>
    <mergeCell ref="I60:M60"/>
    <mergeCell ref="I61:M61"/>
    <mergeCell ref="I62:M62"/>
    <mergeCell ref="I63:M63"/>
    <mergeCell ref="I64:M64"/>
    <mergeCell ref="I65:M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Пр. №2 сметный расчет 1,2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Кусмарцева Олеся Александровна</dc:creator>
  <cp:lastModifiedBy>Фролова Анастасия Сергеевна</cp:lastModifiedBy>
  <cp:lastPrinted>2025-08-26T05:41:22Z</cp:lastPrinted>
  <dcterms:created xsi:type="dcterms:W3CDTF">2015-06-05T18:19:34Z</dcterms:created>
  <dcterms:modified xsi:type="dcterms:W3CDTF">2026-01-13T07:52:42Z</dcterms:modified>
</cp:coreProperties>
</file>