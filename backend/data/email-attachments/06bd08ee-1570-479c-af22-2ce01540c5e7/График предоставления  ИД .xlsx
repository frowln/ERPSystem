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snc-synology\Shared\Юр.отдел\14. Проекты\ККМ\Требования субподрядчикам\"/>
    </mc:Choice>
  </mc:AlternateContent>
  <xr:revisionPtr revIDLastSave="0" documentId="13_ncr:1_{EF4AEEB2-C42B-4C62-B88E-70DADC5744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рафик ИТД" sheetId="1" r:id="rId1"/>
    <sheet name="Гр. ВОР" sheetId="2" r:id="rId2"/>
    <sheet name="Доп.работы" sheetId="3" r:id="rId3"/>
  </sheets>
  <definedNames>
    <definedName name="_xlnm._FilterDatabase" localSheetId="0" hidden="1">'График ИТД'!$A$3:$O$378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9" i="3" l="1"/>
  <c r="AL61" i="2"/>
  <c r="AJ61" i="2"/>
  <c r="AI61" i="2"/>
  <c r="AN55" i="2"/>
  <c r="AL55" i="2"/>
  <c r="AK55" i="2"/>
  <c r="AI55" i="2"/>
  <c r="A9" i="1"/>
  <c r="A10" i="1" s="1"/>
  <c r="A11" i="1" s="1"/>
  <c r="A12" i="1" s="1"/>
  <c r="A13" i="1" s="1"/>
  <c r="A14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6" i="1" s="1"/>
  <c r="A357" i="1" s="1"/>
  <c r="A358" i="1" s="1"/>
  <c r="A359" i="1" s="1"/>
  <c r="A361" i="1" s="1"/>
  <c r="A362" i="1" s="1"/>
  <c r="A363" i="1" s="1"/>
  <c r="A364" i="1" s="1"/>
  <c r="A365" i="1" s="1"/>
  <c r="A367" i="1" s="1"/>
  <c r="A368" i="1" s="1"/>
  <c r="A369" i="1" s="1"/>
  <c r="A370" i="1" s="1"/>
  <c r="A371" i="1" s="1"/>
  <c r="A372" i="1" s="1"/>
  <c r="A373" i="1" s="1"/>
  <c r="A374" i="1" s="1"/>
  <c r="A376" i="1" s="1"/>
  <c r="A377" i="1" s="1"/>
</calcChain>
</file>

<file path=xl/sharedStrings.xml><?xml version="1.0" encoding="utf-8"?>
<sst xmlns="http://schemas.openxmlformats.org/spreadsheetml/2006/main" count="2178" uniqueCount="718">
  <si>
    <t>январь</t>
  </si>
  <si>
    <t>февраль</t>
  </si>
  <si>
    <t>№ п/п</t>
  </si>
  <si>
    <t>Шифр РД</t>
  </si>
  <si>
    <t>Организации</t>
  </si>
  <si>
    <t>Наименование вид работ</t>
  </si>
  <si>
    <t>Генподрядчик: ООО  "АВП-Групп"</t>
  </si>
  <si>
    <t>Техзаказчик: ООО  "Энергопрогресс"</t>
  </si>
  <si>
    <t>Подписанная ИД</t>
  </si>
  <si>
    <t>Дата предоставление ИД и ВОР</t>
  </si>
  <si>
    <t>Раздел 1. Подготовительные работы</t>
  </si>
  <si>
    <t>1175-Д00100.1/23-ПОС</t>
  </si>
  <si>
    <t>ООО «АВП-ГРУПП»</t>
  </si>
  <si>
    <t>Геодезические разбивочные основы (ГРО)</t>
  </si>
  <si>
    <t>Подписан</t>
  </si>
  <si>
    <t>2 экз</t>
  </si>
  <si>
    <t>ООО "НЛП"</t>
  </si>
  <si>
    <t>Расчистка территории. Демонтаж ж/б, ливневой канализации</t>
  </si>
  <si>
    <t>1175-Д00300.2/23-НВ</t>
  </si>
  <si>
    <t>ООО СТК "Класс"</t>
  </si>
  <si>
    <t>Водопровод В1</t>
  </si>
  <si>
    <t>Подписан 1экз.</t>
  </si>
  <si>
    <t>1 экз</t>
  </si>
  <si>
    <t>1175-Д00300/23-АС</t>
  </si>
  <si>
    <t>ООО СТК «Класс»</t>
  </si>
  <si>
    <t>Устройство ограждения. Подготовительные работы</t>
  </si>
  <si>
    <t>Подписан.</t>
  </si>
  <si>
    <t xml:space="preserve"> ООО "Тимерхан"</t>
  </si>
  <si>
    <t>Монтаж опор освещения.  Подготовительные работы</t>
  </si>
  <si>
    <t>ООО ПЦ Град  №04/2024-НЭС</t>
  </si>
  <si>
    <t>ООО "ПЭК"</t>
  </si>
  <si>
    <t>Электроснабжение 10кВ 550кВт</t>
  </si>
  <si>
    <t>Дорожное покрытие на площадки КМПО</t>
  </si>
  <si>
    <t>Раздел 2. Производственная часть</t>
  </si>
  <si>
    <t>1175-Д00100.2/23-1-КЖ1</t>
  </si>
  <si>
    <t>Разработка котлована</t>
  </si>
  <si>
    <t>Подписаны 5экз., но не передали</t>
  </si>
  <si>
    <t>Подписаны 5экз.</t>
  </si>
  <si>
    <t>Не передан в 4-х экз.</t>
  </si>
  <si>
    <t>Погружения и срубка свай в осях 1-13/А-М</t>
  </si>
  <si>
    <t>Необходимо изменение в ПСД по испытаниям свай</t>
  </si>
  <si>
    <t>ООО "Ремэкс"</t>
  </si>
  <si>
    <t>Погружение и срубка свай в осях А-М/14-28</t>
  </si>
  <si>
    <t>Вор и ИД 28.02.26</t>
  </si>
  <si>
    <t>Устройство роствекров  в осях А-М/14-25; Ж-М/26-27</t>
  </si>
  <si>
    <t>ООО "Прайд"</t>
  </si>
  <si>
    <t>Устройство монолитных фундаментов Фм2 в/о 22-25/Б-Г</t>
  </si>
  <si>
    <t>ООО "Альтан"</t>
  </si>
  <si>
    <t>Устройство монолитных фундаментов Фм1, Фм2 в/о 3-5/Б-Г</t>
  </si>
  <si>
    <t>Устройство опорных столбиков для фундаментной балки</t>
  </si>
  <si>
    <t>Устройство фундаментной балки Фб4, Фб5, Фб6, Фб7</t>
  </si>
  <si>
    <t>Обратная засыпка фундаментов на отм. -2.900 до отм. -1.700</t>
  </si>
  <si>
    <t>ООО "СРК"</t>
  </si>
  <si>
    <t>Обратная засыпка фундаментов на отм. -1.700 до отм. -0.700</t>
  </si>
  <si>
    <t>1175-Д00100.2/23-1.1-КЖ</t>
  </si>
  <si>
    <t xml:space="preserve">Испытательный комплекс. Фундамент МФпл-1 (ГТД) в/о 2-12/И-Л </t>
  </si>
  <si>
    <t>Испытательный комплекс.  Фундамент МФпл-2 (КНД-КТД) в/о 12-25/И-Л</t>
  </si>
  <si>
    <t>Фундамент под маслоприемную емкость</t>
  </si>
  <si>
    <t>ИП Ермолаева Ю.С.</t>
  </si>
  <si>
    <t>Монтаж балок на фундаментную плиту Мфпл-1, Мфпл-2</t>
  </si>
  <si>
    <t>ООО "Эрра Инвест"</t>
  </si>
  <si>
    <t>Устройство подливки плит Мфпл-1, Мфпл-2</t>
  </si>
  <si>
    <t>1175-Д00100.2/23-1-КЖ2</t>
  </si>
  <si>
    <t>Устройство полов основного цеха (тип 1 и 2)</t>
  </si>
  <si>
    <t>Устройство фудаментов под тележку в количестве 2шт</t>
  </si>
  <si>
    <t>Устройство приямок в осях 3-23/Л-М</t>
  </si>
  <si>
    <t>Устройство стен приямков в осях 6-22/Г-И</t>
  </si>
  <si>
    <t>Устройство фундаментов Ф1, Ф2 в осях 17-21/Л-М</t>
  </si>
  <si>
    <t>Устройство стен приямков ТП-1 в осях25-26/К-М</t>
  </si>
  <si>
    <t>Устроство крыльц в осях 26-27/К-М, 26-27/И-К, 23-24/А, 2-3/А, 1/А-Б, 1/Г-Д, 1/Д-Е, 10-11/М</t>
  </si>
  <si>
    <t>Устройство пандусов в осях 26-27/Е-И, 22-23/А, 6-7/А, 1/Е-И</t>
  </si>
  <si>
    <t>Устройство фундаментов ФМ-1, ФМ-2, ФМ-3, ФМ-4 под опоры ВПр</t>
  </si>
  <si>
    <t>Устройство фундамента Фм1 и фундаментной плиты ФП-1 под наружную лестницу по оси А в количестве 2шт</t>
  </si>
  <si>
    <t>Устройство фундамента Фм1 и фундаментной плиты ФП-1 под наружную лестницу по оси М</t>
  </si>
  <si>
    <t>1175-Д00100.2/23-1-КЖ3</t>
  </si>
  <si>
    <t>Бетонирования перекрытия в осях 1-9/А-Д на отм. +10.920; 22-26/А-Г на отм.+7.120 (вент.камеры)</t>
  </si>
  <si>
    <t>1175-Д00100.2/23-1-КМ1</t>
  </si>
  <si>
    <t>ООО Камстройинвест</t>
  </si>
  <si>
    <t>Монтаж металлоконструкции</t>
  </si>
  <si>
    <t>ООО Альтиус</t>
  </si>
  <si>
    <t>Огнезащита металлических конструкций</t>
  </si>
  <si>
    <t xml:space="preserve">Подписан </t>
  </si>
  <si>
    <t xml:space="preserve">Подливка колонн </t>
  </si>
  <si>
    <t>ИД - 26.02.26, ВОР - проверить в папке</t>
  </si>
  <si>
    <t>Обетонка колонн</t>
  </si>
  <si>
    <t>ООО ТПК ПБ</t>
  </si>
  <si>
    <t>Монтаж крановых рельс, концевой упор и площадка обслуживания, ограждений (кран 50, 200, 400тн)</t>
  </si>
  <si>
    <t>1175-Д00100.2/23-1-КМ2</t>
  </si>
  <si>
    <t>ООО "ДСК"</t>
  </si>
  <si>
    <t>Монтаж профнастила на кровле</t>
  </si>
  <si>
    <t xml:space="preserve">Подписан 5экз., но не передали </t>
  </si>
  <si>
    <t>Подписан 5экз.</t>
  </si>
  <si>
    <t>Стеновые сэндвич панели по периметру здания</t>
  </si>
  <si>
    <t>Стеновые сэндвич панели парапет</t>
  </si>
  <si>
    <t>Монтаж наружных и внутренних нащельников</t>
  </si>
  <si>
    <t>Монтаж металлоконструкции элементов фахверка по оси 26/А-Д, стеновых прогонов по периметру здания</t>
  </si>
  <si>
    <t>АОСР объединеный с п.29</t>
  </si>
  <si>
    <t>Монтаж лестниц Л1 в осях 3-4/А, 24-25/А, Л2 в осях 14-15/М</t>
  </si>
  <si>
    <t>Кроме монтаж ступеней и перил</t>
  </si>
  <si>
    <t>Монтаж лестниц Л3 в осях 26 и Д</t>
  </si>
  <si>
    <t>ООО СЗ СНС</t>
  </si>
  <si>
    <t xml:space="preserve">Монтаж ступеней и ограждения лесниц Л1 в осях 3-4/А, 24-25/А, Л2 в осях 14-15/М </t>
  </si>
  <si>
    <t>На проверке</t>
  </si>
  <si>
    <t>1175-Д00100.2/23-1-КМ3</t>
  </si>
  <si>
    <t xml:space="preserve">Монтаж металлоконструкции (прогоны стеновые по оси Д,) </t>
  </si>
  <si>
    <t xml:space="preserve">Монтаж металлоконструкции в осях 1-9/А-Д с отм. 0.000 до  +15.650; 12-17/А-Д с отм. 0.000 до отм.+3.620; 21-26/А-Д с отм.0.000 до отм.11.420; 25-26/К-М с отм.0.000 до отм.+4.880  </t>
  </si>
  <si>
    <t>Монтаж металлоконструкции встройки в осях 6-7/Л-М, 14-15/Л-М, 22-23/Л-М с отм.0.000 до отм.+3.420;</t>
  </si>
  <si>
    <t>Монтаж лестницы Л1, Л2, Л3, Л4, Л5</t>
  </si>
  <si>
    <t>ООО СЗ СНС/ИП Балобанова</t>
  </si>
  <si>
    <t>Монтаж ступеней и ограждения лесниц Л1,Л2,Л3, Л4, Л5</t>
  </si>
  <si>
    <t>ООО ТСК КСК</t>
  </si>
  <si>
    <t>Монтаж металлоконструкции площадки обслуживания оборудования ВПр в осях 14-15/Л-М</t>
  </si>
  <si>
    <t>Монтаж металлоконструкции шахт Ш1, Ш2, Ш3</t>
  </si>
  <si>
    <t>Монтаж стеновых сэнвич панелей по оси 1-26/Д</t>
  </si>
  <si>
    <t>Монтаж стеновых и кровельных сэнвич панелей встройки в осях 6-7/Л-М, 14-15/Л-М, 22-23/Л-М с отм.0.000 до отм.+3.420;</t>
  </si>
  <si>
    <t>Монтаж стеновых сэнвич панелей в осях 1-10/А-Д на отм. 0.000; 1-4/А-Д на отм.+11.000; 11-17/Г-Д на отм.0.000; 20-26/А-Д на отм.0.000; 25-26/А-Г на отм.+11.500; 20-26/А-Г на отм.+7.200</t>
  </si>
  <si>
    <t>Монтаж кровельных сэнвич панелей в осях 1-4/А-Д на отм.15.650; 21-26/Г-Д, 5-18/Г-Д на отм.+3.620; 20-23/А-Б на отм.+5.420; 22-26/Г-Д на отм.+11.420; 25-26/А-Г на отм.+15.500; 20-26/А-Г на отм.+7.200</t>
  </si>
  <si>
    <t>Монтаж стеновых сэнвич панелейшахт Ш1, Ш2, Ш3</t>
  </si>
  <si>
    <t xml:space="preserve">Монтаж горизонтальных и вертикальных, угловых нащельников </t>
  </si>
  <si>
    <t xml:space="preserve">Монтаж сэндвич панелей И-К/25-26 (ТП-1 доп.) </t>
  </si>
  <si>
    <t>Монтаж, изготовление м/к И-К/25-26 (ТП-1 доп.)</t>
  </si>
  <si>
    <t>Монтаж зонтов ИК и ЧРП</t>
  </si>
  <si>
    <t>ИП Еромолаева</t>
  </si>
  <si>
    <t>Монтаж усиление под шторы 26/Е-И</t>
  </si>
  <si>
    <t>ВОР -28.02.26, ИД - 10.03.26</t>
  </si>
  <si>
    <t>1175-Д00100.2/23-1-КМ4</t>
  </si>
  <si>
    <t>Монтаж м/к опор для крепления инженерных коммуникации по оси А, Д, 1, 26</t>
  </si>
  <si>
    <t>Монтаж опор Оп1-Оп26 в осях 2-3/А-В, 20-22/А-Б</t>
  </si>
  <si>
    <t>ООО НЛП</t>
  </si>
  <si>
    <t>Монтаж м/к стоек  под опоры ВПр</t>
  </si>
  <si>
    <t>Монтаж м/к регелей для крепления токопровода в осях 8-22/М, 19-24/М-Н</t>
  </si>
  <si>
    <t>Монтаж м/к для установки ворот по оси 1, 26, Д</t>
  </si>
  <si>
    <t>Устройство подконструкции для крепления противопожарной шторы в осях 3-5/Д, 9-11/Д, 17-19/Д</t>
  </si>
  <si>
    <t>Монтаж проходок ВПр и НПр</t>
  </si>
  <si>
    <t>не смонтировано</t>
  </si>
  <si>
    <t>Монтаж площадки обслуживания Пл1-Пл6 и лестниц Л1, Л2</t>
  </si>
  <si>
    <t>Монтаж опоры под шкаф ОПш-1 - ОПш-3</t>
  </si>
  <si>
    <t>Монтаж опорной рамы теплообменника</t>
  </si>
  <si>
    <t>Нанесение ОГЗ КМ4 ворот, штор</t>
  </si>
  <si>
    <t>Устройство огнезащитной изоляции на укосинах КМ4 вент. установок</t>
  </si>
  <si>
    <t>ООО НЛП, ООО СЗ СНС</t>
  </si>
  <si>
    <t>Заделка отверстия между стен инженерных коммуникациями и строительной конструкции</t>
  </si>
  <si>
    <t>1175-Д00100.2/23-1-КМ1.У</t>
  </si>
  <si>
    <t>Усиление м/к в осях 1-26/Д, 1-26/М</t>
  </si>
  <si>
    <t>Подписан 5 экз</t>
  </si>
  <si>
    <t>1175-Д00100.2/23-АР1</t>
  </si>
  <si>
    <t>ООО Стройиндустрия</t>
  </si>
  <si>
    <t>Кирпичная кладка цоколя</t>
  </si>
  <si>
    <t>Подписан 1экз. на размножении</t>
  </si>
  <si>
    <t xml:space="preserve"> ВОР подписан</t>
  </si>
  <si>
    <t>Подписан 1экз</t>
  </si>
  <si>
    <t>Обшивка цоколя внутри здания из профнастила</t>
  </si>
  <si>
    <t>Обшивка цоколя снаружи здания из профнастила с утеплением</t>
  </si>
  <si>
    <t>Монтаж металических и алюминевых дверей</t>
  </si>
  <si>
    <t>Укладка плитки на полы и стены в помещениях и установка напольных плинтусов</t>
  </si>
  <si>
    <t>Устройство потолков реечных и амстронг в помещениях</t>
  </si>
  <si>
    <t>Обшивка стен из гипсокортона в помещениях</t>
  </si>
  <si>
    <t>Устройство съемных панелей фальшпола в помещениях</t>
  </si>
  <si>
    <t>Установка перегород сантехнических из HPL-панели</t>
  </si>
  <si>
    <t>Монтаж загрождение МАХАОН-Стандарт по оси 5-6/Б-Г</t>
  </si>
  <si>
    <t>Устройство топинговых и полимерных полов</t>
  </si>
  <si>
    <t>ООО "АВК Сервис"</t>
  </si>
  <si>
    <t>Монтаж витража ВН-2, ВН-6, ВН-6.1, ВН-7, ВН-7*, ВН-8.
Монтаж окон ОК-1*, ОК-2*.
Монтаж светопрозрачных перегородок ПС6*-ПС10*</t>
  </si>
  <si>
    <t>Устройство кровли в осях 1-26/А-М</t>
  </si>
  <si>
    <t>Устройство парапетны крышек в осях 1-26/А-М</t>
  </si>
  <si>
    <t>ООО ПСК "Интеб"</t>
  </si>
  <si>
    <t>Монтаж жалюзийнных решеток по оси А, 1, 26</t>
  </si>
  <si>
    <t>Подписан, на размножении</t>
  </si>
  <si>
    <t>ВОР подписан</t>
  </si>
  <si>
    <t>ООО Стелл-МС</t>
  </si>
  <si>
    <t xml:space="preserve">Монтаж ворот </t>
  </si>
  <si>
    <t>ВОР и ИД -28.02.26</t>
  </si>
  <si>
    <t xml:space="preserve">ИП Михайлов </t>
  </si>
  <si>
    <t xml:space="preserve">Устройство кровли из полемочевины </t>
  </si>
  <si>
    <t>1175-Д00100.2/23-1-ОВ</t>
  </si>
  <si>
    <t>Вентиляция</t>
  </si>
  <si>
    <t>Кондиционирования</t>
  </si>
  <si>
    <t>Отопления</t>
  </si>
  <si>
    <t>1175-Д00100.2/23-1-ИТП</t>
  </si>
  <si>
    <t>Монтаж ИТП1 в осях 20-22/А-В, ИТП2 в осях 2-3/А-В</t>
  </si>
  <si>
    <t>1175-Д00100.2/23-1-ТХ.ТР</t>
  </si>
  <si>
    <t xml:space="preserve">Монтаж крана 200тн </t>
  </si>
  <si>
    <t xml:space="preserve">Монтаж крана 400тн </t>
  </si>
  <si>
    <t>1175-Д00100.2/23-1-ПТ1</t>
  </si>
  <si>
    <t>ООО ТД Евроснаб</t>
  </si>
  <si>
    <t>Автоматическая газовое пожаротушение</t>
  </si>
  <si>
    <t>1175-Д00100.2/23-1-ПТ2</t>
  </si>
  <si>
    <t>Автоматическая водяное пожаротушение</t>
  </si>
  <si>
    <t>ИД 24.02.26, ВОР- подписан</t>
  </si>
  <si>
    <t>1175-Д00100.2/23-1-ВК</t>
  </si>
  <si>
    <t>Хозяйственно-питьевой водопровод В1</t>
  </si>
  <si>
    <t>Противопожарный водопровод В2</t>
  </si>
  <si>
    <t>ВОР подписан, ИД 05.03.26</t>
  </si>
  <si>
    <t>Горячие водоснабжение Т3, Т4</t>
  </si>
  <si>
    <t>ВОР 27.02.26, ИД 07.03.26</t>
  </si>
  <si>
    <t>Обратное водоснабжения В4, В5</t>
  </si>
  <si>
    <t>ВОР подписан, ИД 24.02.26</t>
  </si>
  <si>
    <t>ООО "СТК-Класс"</t>
  </si>
  <si>
    <t>Бытовая канализация К1</t>
  </si>
  <si>
    <t>Внутренний водосток К2</t>
  </si>
  <si>
    <t>ООО Адэзэр</t>
  </si>
  <si>
    <t>Отвода кондесата Кс</t>
  </si>
  <si>
    <t>Дренажная канализация Др</t>
  </si>
  <si>
    <t>Напорная дренажная канализация ДрН</t>
  </si>
  <si>
    <t>Монтаж дренажных насосов в приямки ИТП1,2 и по оси М</t>
  </si>
  <si>
    <t>1175-Д00100.2/23-1-ЭО/1</t>
  </si>
  <si>
    <t>ООО "Привод"</t>
  </si>
  <si>
    <t>Электроосвещение внутреннее</t>
  </si>
  <si>
    <t>1175-Д00100.2/23-1-ЭМ1.1</t>
  </si>
  <si>
    <t>Силовое электрооборудование</t>
  </si>
  <si>
    <t>1175-Д00100.2/23-1-СКС</t>
  </si>
  <si>
    <t>ООО Фортис</t>
  </si>
  <si>
    <t>Структуированная кабельная система</t>
  </si>
  <si>
    <t>1175-Д00100.2/23-1-ПС</t>
  </si>
  <si>
    <t>Пожарная сигнализация</t>
  </si>
  <si>
    <t>1175-Д00100.2/23-1-СОТ, СКУД, ОС/1</t>
  </si>
  <si>
    <t>Технические средства охраны</t>
  </si>
  <si>
    <t>15.03.2026 -ИД , 28.02.26-ВОР</t>
  </si>
  <si>
    <t>1175-Д00100.2/23-1-АОВ/1</t>
  </si>
  <si>
    <t xml:space="preserve">ООО ИТЦ «ТКС-ПОВОЛЖЬЕ»                </t>
  </si>
  <si>
    <t>Автоматизация инженерных систем отопление, вентиляции, кондиционирования воздуха, тепловые сити</t>
  </si>
  <si>
    <t>1175-Д00100.2/23-1-АВ</t>
  </si>
  <si>
    <t>Автоматизация инженерных систем водоснабжения</t>
  </si>
  <si>
    <t>1175-Д00100.2/23-1-АВК</t>
  </si>
  <si>
    <t>Автоматизация инженерных систем водоотведения</t>
  </si>
  <si>
    <t>1175-Д00100.2/23-1-АТХ</t>
  </si>
  <si>
    <t>Автоматизация технологических процессов</t>
  </si>
  <si>
    <t>1175-Д00100.2/23-1-ДИС</t>
  </si>
  <si>
    <t xml:space="preserve">Диспечеризация инженерных систем </t>
  </si>
  <si>
    <t>1175-Д00100.2/23-ТХ5-НСО-1073</t>
  </si>
  <si>
    <t>Установка тупиковых упоров</t>
  </si>
  <si>
    <t>ККМ отказался от этих работ</t>
  </si>
  <si>
    <t>Монтаж компрессорных установок, маслобак</t>
  </si>
  <si>
    <t>ВОР -28.02.26, ИД 10.03.26</t>
  </si>
  <si>
    <t xml:space="preserve">Раздел 3. АБК (водоснабжения и водоотведения в одном проекте ПЧ, АБК, ЧРП)  </t>
  </si>
  <si>
    <t>1175-Д00100.2/23-16-КЖ1/1</t>
  </si>
  <si>
    <t>Устройство фундаментной балки Фб1, Фб2, Фб3</t>
  </si>
  <si>
    <t>Устройство бетонного основания в осях 27-30/А-Е</t>
  </si>
  <si>
    <t>1175-Д00100.2/23-16-КЖ2/1</t>
  </si>
  <si>
    <t>Устройство монолитного каркаса в осях 27-30/А-Е (колонны, балки, перекрытия, лестниц)</t>
  </si>
  <si>
    <t>Пожарная лестница П1-1 (между отм. +13.120 до отм.16.120</t>
  </si>
  <si>
    <t>Монтаж метоллокаркас для навесного фасада в осях 30/А-Б</t>
  </si>
  <si>
    <t>Устройство бетонного основания в осях 30/А-Б</t>
  </si>
  <si>
    <t>Кирпичная кладка наружных стен, перегородок и парапетов</t>
  </si>
  <si>
    <t>Подписан 1экз.на размножении</t>
  </si>
  <si>
    <t>Устройство основной кровли в осях 27-30/А-Е</t>
  </si>
  <si>
    <t>Устройство парапетной крышки в осях 27/А-Е</t>
  </si>
  <si>
    <t>Подписан 5экз., но не передан</t>
  </si>
  <si>
    <t>Устройство кровли балкона в осях 30/А-Б на отм. +13.120</t>
  </si>
  <si>
    <t>Устройстов утепление стен и стяжка пола балкона в осях 30/А-Б на отм. +4.200, +8.400</t>
  </si>
  <si>
    <t>Устройство навесного фасада</t>
  </si>
  <si>
    <t xml:space="preserve">Устройство оконных откосов и парапетной крышки </t>
  </si>
  <si>
    <t>Штукатурка и покраска стен в осях 27-30/А-Е</t>
  </si>
  <si>
    <t>28.02,26</t>
  </si>
  <si>
    <t>Покраска потолков</t>
  </si>
  <si>
    <t xml:space="preserve">Устройство стен из керамогранитной плитки  </t>
  </si>
  <si>
    <t>Устройство финишных полов и установка наполных плинтусов</t>
  </si>
  <si>
    <t>Устройство пирога пола (стяжка, гидроизоляция…и.т.д)</t>
  </si>
  <si>
    <t>Устройство потолков из грильято, реечный, металлические плиты, минераловолоконные плиты</t>
  </si>
  <si>
    <t>Зашивка коммуникаций из гипсокарона</t>
  </si>
  <si>
    <t>Монтаж светопрозрачных перегородок ПС-1-ПС5, ПС11-ПС13</t>
  </si>
  <si>
    <t>Установка ПВХ подоконника на 1-3 этажах</t>
  </si>
  <si>
    <t>Ограждения лестничных маршей и балконов</t>
  </si>
  <si>
    <t>Монтаж цельностеклянный козырек с продольными связями</t>
  </si>
  <si>
    <t>Установка лючков сантехнических</t>
  </si>
  <si>
    <t xml:space="preserve">Монтаж внутренних дверей противопожарных и алюмиевых </t>
  </si>
  <si>
    <t>Кроме входа в балкон (алюминиевые)</t>
  </si>
  <si>
    <t>Установка декоративной панели с подсветкой в помещение вестибюля (1.1.2)</t>
  </si>
  <si>
    <t>Установка декоративной панели в помещение переговоров (3.4.2)</t>
  </si>
  <si>
    <t>Монтаж наружной вывески</t>
  </si>
  <si>
    <t>Монтаж наружных витражей КН-2, КН-3, КН-4*, КН-5*, КН-5.1*, КН-6* КН-7*, КН-8*, КН-9; ВН-3, ВН-5</t>
  </si>
  <si>
    <t>Монтаж внутренних дверей алюмиевых (вход в балкон)</t>
  </si>
  <si>
    <t>1175-Д00100.2/23-16-ОВ</t>
  </si>
  <si>
    <t>1175-Д00100.2/23-2-ЭО</t>
  </si>
  <si>
    <t>1175-Д00100.2/23-2-ЭМ</t>
  </si>
  <si>
    <t>1175-Д00100.2/23-16-МС</t>
  </si>
  <si>
    <t>Мультимедийная система</t>
  </si>
  <si>
    <t>1175-Д00100.2/23-16-ПС</t>
  </si>
  <si>
    <t>1175-Д00100.2/23-16-СОТ, СКУД, ОС/1</t>
  </si>
  <si>
    <t>1175-Д00100.2/23-16-АОВ/1</t>
  </si>
  <si>
    <t>ООО Стройтехника 16</t>
  </si>
  <si>
    <t xml:space="preserve">Раздел 4. ЧРП (водоснабжения и водоотведения в одном проекте ПЧ, АБК, ЧРП)  </t>
  </si>
  <si>
    <t>1175-Д00100.2/23-10-КЖ</t>
  </si>
  <si>
    <t>Устройство перекрытия на отм. +2.750, +8.170 в осях 19/1-26/1/Н-П; на отм. +4.120 в осях 17/1-19/1/Н-Р/1</t>
  </si>
  <si>
    <t>1175-Д00100.2/23-10-КЖ1</t>
  </si>
  <si>
    <t>ООО Альтан</t>
  </si>
  <si>
    <t>Устройство фундаментов в осях 17/1-26/1/Н-Т</t>
  </si>
  <si>
    <t>Устройство фундаментных балок Фб1, Фб2</t>
  </si>
  <si>
    <t>на проверке</t>
  </si>
  <si>
    <t>1175-Д00100.2/23-10-КЖ2</t>
  </si>
  <si>
    <t>Устройство ж/б основания</t>
  </si>
  <si>
    <t>Устройство каналов и приямок</t>
  </si>
  <si>
    <t>Устройство фундаментов Ф1, Ф1/1, Ф2, Ф2/1, Ф3</t>
  </si>
  <si>
    <t>Монтаж щитов и каналов и приямок</t>
  </si>
  <si>
    <t>Монтаж металических балок под трасформатор</t>
  </si>
  <si>
    <t>Устройство крылец и пандусов</t>
  </si>
  <si>
    <t>1175-Д00100.2/23-10-КМ</t>
  </si>
  <si>
    <t xml:space="preserve">Монтаж м/к </t>
  </si>
  <si>
    <t>Монтаж ЛМ1 (внутреняя), ЛМ2, ЛМ3 (пожарные)</t>
  </si>
  <si>
    <t>Монтаж жалюзийных решеток ЖР-1-ЖР-5</t>
  </si>
  <si>
    <t>устройство разборных рамок РМ1, РМ2</t>
  </si>
  <si>
    <t>ООО ДСК</t>
  </si>
  <si>
    <t>Подписан 5экз</t>
  </si>
  <si>
    <t>ИД- 26.02.26, ВОР - проверить в папке ИД</t>
  </si>
  <si>
    <t>В проекте отсутствует данные материалы по зданию ЧРП</t>
  </si>
  <si>
    <t>Стеновые сэндвич панели парапета</t>
  </si>
  <si>
    <t>Стеновые сэндвич панели перегородки</t>
  </si>
  <si>
    <t>ДСК</t>
  </si>
  <si>
    <t>Монтаж кровли в осях 19/1-26/1/М-Т; 17/1-19/1/Н-Р/1</t>
  </si>
  <si>
    <t>Монтаж парапетных крышек</t>
  </si>
  <si>
    <t>Подписан 1экз.на размножение</t>
  </si>
  <si>
    <t>Устройство финишных полов (полимерных и керамогранитной плитки)</t>
  </si>
  <si>
    <t>Монтаж металлических дверей</t>
  </si>
  <si>
    <t>Монтаж витража КН-1, ВН-1</t>
  </si>
  <si>
    <t>Монтаж алюминиевых дверей под витражом</t>
  </si>
  <si>
    <t>ООО Таткран</t>
  </si>
  <si>
    <t>Монтаж мостового крана грузоподъемность 3,2тн в количестве 2шт</t>
  </si>
  <si>
    <t>Раздел 5. КПП</t>
  </si>
  <si>
    <t>1175-Д00100.2/23-17-КЖ1</t>
  </si>
  <si>
    <t>ООО СЗ СтройНьюСити</t>
  </si>
  <si>
    <t>Устройство фундаментов Фм1-Фм7</t>
  </si>
  <si>
    <t>Устройство монолитных балкок Фб1-Фб4</t>
  </si>
  <si>
    <t>1175-Д00100.2/23-17-КЖ2</t>
  </si>
  <si>
    <t>Устройство монолитных колонн, стен, балок, плит перекрытия</t>
  </si>
  <si>
    <t>Устройство подстилающего слоя пола</t>
  </si>
  <si>
    <t>Нанесение на стены таркрет-бетон в осях 5/Б-В, 2-3/Д</t>
  </si>
  <si>
    <t>Усиление колон в осях 2-3/Д, 4/В</t>
  </si>
  <si>
    <t>Устройство крылец Кр3</t>
  </si>
  <si>
    <t>1175-Д00100.2/23-17-АР</t>
  </si>
  <si>
    <t>Кладка газоблоков наружных стен, перегородок и парапетов</t>
  </si>
  <si>
    <t>Устройство кровли</t>
  </si>
  <si>
    <t>Монтаж окон Он-1, Он-2, Ов-1, Ов-2</t>
  </si>
  <si>
    <t>Монтаж витражей Вh-1-Вh-4, ВТ-1</t>
  </si>
  <si>
    <t>Монтаж алюминиевых дверей</t>
  </si>
  <si>
    <t>Устройство вентилируемого фасада</t>
  </si>
  <si>
    <t>Подписан на размножении</t>
  </si>
  <si>
    <t>Устройство парапетных крышек</t>
  </si>
  <si>
    <t>Устройство отделки стен (штукатурка, покраска и утепление с облицовкой композитными панелями)</t>
  </si>
  <si>
    <t>Устройство финишных полов и стен из керамогранитной плитки</t>
  </si>
  <si>
    <t>Утепление наружных стен фундамента с защитным декоративной штукатуркой (от низа монолитной балки до отм.+0.300)</t>
  </si>
  <si>
    <t>Монтаж противопожарных дверей</t>
  </si>
  <si>
    <t>1175-Д00100.2/23-17-ОВ</t>
  </si>
  <si>
    <t>ИД -24.02.2026, ВОР подписан</t>
  </si>
  <si>
    <t>1175-Д00100.2/23-17-ВК</t>
  </si>
  <si>
    <t>Горячие водоснабжение Т3</t>
  </si>
  <si>
    <t>1175-Д00100.2/23-3-ЭО</t>
  </si>
  <si>
    <t>1175-Д00100.2/23-3-ЭМ</t>
  </si>
  <si>
    <t>1175-Д00100.2/23-17-СКС</t>
  </si>
  <si>
    <t>Структурированная кабельная система</t>
  </si>
  <si>
    <t>1175-Д00100.2/23-17-ПС</t>
  </si>
  <si>
    <t>ИД до 15.03.26, ВОР- 28.02.26</t>
  </si>
  <si>
    <t>1175-Д00100.2/23-17-СОТ, СКУД, ОС/1</t>
  </si>
  <si>
    <t>1175-Д00100.2/23-17-АОВ</t>
  </si>
  <si>
    <t>Раздел 6. Насосная пожаротушения</t>
  </si>
  <si>
    <t>1175-Д00100.2/23-8-КЖ</t>
  </si>
  <si>
    <t>Устройство плиты днище, стен, колонн, плит перекрытия</t>
  </si>
  <si>
    <t>замечание</t>
  </si>
  <si>
    <t>Устройство фундамента Ф1, Ф2</t>
  </si>
  <si>
    <t>Устройство крыльца КР-1</t>
  </si>
  <si>
    <t>Утепление с наружи по периметру монолитного сооружение</t>
  </si>
  <si>
    <t>Гидроизоля внутри монолитного сооружение</t>
  </si>
  <si>
    <t>ИД и ВОР 26.02.26</t>
  </si>
  <si>
    <t>Монтаж камеры лаза</t>
  </si>
  <si>
    <t>1175-Д00100.2/23-8-КМ</t>
  </si>
  <si>
    <t>Монтж м/к колонн, вертикальных связей, распорок, стеновых ригелей</t>
  </si>
  <si>
    <t>Монтаж лестницы Л1 и ограждение Ог-1, Ог-2</t>
  </si>
  <si>
    <t>Монтаж рамки Рм1 и стакан С1</t>
  </si>
  <si>
    <t>Монтаж стоек Ст1-Ст5 для инженерных коммуникаций</t>
  </si>
  <si>
    <t>Укладка профлиста на кровле</t>
  </si>
  <si>
    <t>Монтаж сэндвич панелей</t>
  </si>
  <si>
    <t>1175-Д00100.2/23-8-АР</t>
  </si>
  <si>
    <t>Утепление цоколя с защитным декоративной штукатуркой</t>
  </si>
  <si>
    <t>Покраска стен внутри здания</t>
  </si>
  <si>
    <t xml:space="preserve">Устройство крыльца </t>
  </si>
  <si>
    <t>Устройство пола в машинном зале</t>
  </si>
  <si>
    <t>Монтаж окон ОК-1</t>
  </si>
  <si>
    <t xml:space="preserve">Утепление наружных стен и пола с обваловкой грунтом </t>
  </si>
  <si>
    <t>1175-Д00100.2/23-8-ОВ</t>
  </si>
  <si>
    <t>ИД -24.02.26, 
ВОР- подписан</t>
  </si>
  <si>
    <t>1175-Д00100.2/23-8-ПТ3</t>
  </si>
  <si>
    <t>ВОР - 28.02.26, 
ИД - 06.03.26</t>
  </si>
  <si>
    <t>1175-Д00100.2/23-8-ЭО</t>
  </si>
  <si>
    <t>1175-Д00100.2/23-8-ЭМ</t>
  </si>
  <si>
    <t>1175-Д00100.2/23-8-ПС</t>
  </si>
  <si>
    <t>Объедина с производственной части (разделить)</t>
  </si>
  <si>
    <t>1175-Д00100.2/23-8-СОТ, СКУД, ОС/1</t>
  </si>
  <si>
    <t>1175-Д00100.2/23-8-АОВ</t>
  </si>
  <si>
    <t>ООО ТКС-Поволжье</t>
  </si>
  <si>
    <t>1175-Д00100.2/23-8-ТР</t>
  </si>
  <si>
    <t>Монтаж мостового крана грузоподъемность 1,0тн</t>
  </si>
  <si>
    <t xml:space="preserve">Раздел 7. Устройство отдельно стоящих фундаментов </t>
  </si>
  <si>
    <t>1175-Д00100.2/23-4-КЖ</t>
  </si>
  <si>
    <t>Разработка котлована и устройство песчаного основания под фундамент площадки АВО газа</t>
  </si>
  <si>
    <t>ОО Ремекс</t>
  </si>
  <si>
    <t>Устройство фундамента Ф4.1, Ф4.2, Ф4.3 площадка АВО газа</t>
  </si>
  <si>
    <t>1175-Д00100.2/23-5-АС</t>
  </si>
  <si>
    <t>Разработка котлована и устройство песчаного основания под фундамент площадки хранения газа</t>
  </si>
  <si>
    <t>ОО НЛП</t>
  </si>
  <si>
    <t>Устройство фундамента Ф5 площадка хранения газа</t>
  </si>
  <si>
    <t>1175-Д00100.2/23-6-КЖ</t>
  </si>
  <si>
    <t>Разработка котлована и устройство песчаного основания под фундаментную плиту азотная станция</t>
  </si>
  <si>
    <t>Устройство фундаментной плиты ФП1 азотная станция</t>
  </si>
  <si>
    <t>1175-Д00100.2/23-7-КЖ</t>
  </si>
  <si>
    <t>ООО СРК</t>
  </si>
  <si>
    <t>Разработка котлована и обратная засыпка под фундамент ТП-2</t>
  </si>
  <si>
    <t>Устройство фундаментной плиты ФП1  ТП-2</t>
  </si>
  <si>
    <t>1175-Д00100.2/23-9-КЖ</t>
  </si>
  <si>
    <t>Устройство фундамента Ф9 станция охлаждения воды</t>
  </si>
  <si>
    <t>Наращивание фундамента Ф9 станция охлаждения воды</t>
  </si>
  <si>
    <t>1175-Д00100.2/23-11-КЖ</t>
  </si>
  <si>
    <t>Монтаж и демонтаж шпунтового ограждения</t>
  </si>
  <si>
    <t>ООО СТК Класс</t>
  </si>
  <si>
    <t>Устройство фундамента ФМ1.1, ФМ1.2</t>
  </si>
  <si>
    <t>Устройство фундамента под пескоуловитель и маслобензоотвердитель; сорбционный блок; колодец с шиберной задвижкой</t>
  </si>
  <si>
    <t>Устройство разгрузочной плиты РП1, РП2</t>
  </si>
  <si>
    <t>1175-Д00100.2/23-12-КЖ</t>
  </si>
  <si>
    <t>Разработка котлована и устройство песчаного основания под фундаментную плиту ФП1</t>
  </si>
  <si>
    <t>Разработка котлована под фундаментную плиту ФП2</t>
  </si>
  <si>
    <t>Разработка котлована продувочного колодца</t>
  </si>
  <si>
    <t>Устройство фундаментной плиты ФП1, ФП2 и продувочного колодца</t>
  </si>
  <si>
    <t xml:space="preserve"> Обратная засыпка под фундаментную плиту ФП1, ФП2 и продувочного колодца</t>
  </si>
  <si>
    <t>1175-Д00100.2/23-13-КЖ</t>
  </si>
  <si>
    <t>Устройство буронабивных свай 48-85, 160-180</t>
  </si>
  <si>
    <t>ООО ВСИ</t>
  </si>
  <si>
    <t>Устройство буронабивных свай 1-47, 86-159, 181-223</t>
  </si>
  <si>
    <t>Устройство монолитных фундаментов и колонн</t>
  </si>
  <si>
    <t>Устройство монолитных фундаментов Фпш1 и Фпш2</t>
  </si>
  <si>
    <t>1175-Д00100.2/23-13-КМ</t>
  </si>
  <si>
    <t>ООО ТСК-КСК</t>
  </si>
  <si>
    <t>Монтаж м/к (колонны, балки, связи) под площадку АВО газа (фундамент 4.2)</t>
  </si>
  <si>
    <t>Монтаж м/к (колонны, балки, связи) под площадку АВО газа (фундамент 4.1, 4.3)</t>
  </si>
  <si>
    <t>Монтаж площадок обслуживания Пл4-Пл24</t>
  </si>
  <si>
    <t xml:space="preserve">Монтаж площадок обслуживания АВО газа Пл1-Пл3 </t>
  </si>
  <si>
    <t>ООО Эрра-Инвест</t>
  </si>
  <si>
    <t>Подливка под м/к</t>
  </si>
  <si>
    <t>1175-Д00100.2/23-13-АС</t>
  </si>
  <si>
    <t>Устройство фундамнта Ф-1 для пролетного строения</t>
  </si>
  <si>
    <t>Устройство буронабивной сваи СБН1, СБН2</t>
  </si>
  <si>
    <t>Монтаж стальных опор и балки</t>
  </si>
  <si>
    <t>Монтаж пролетного строение ПС-1</t>
  </si>
  <si>
    <t>1175-Д00100.2/23-15-КЖ</t>
  </si>
  <si>
    <t>Разработка котлована и обратная засыпка под фундамент ФП1</t>
  </si>
  <si>
    <t>Устройство фундамента ФП1</t>
  </si>
  <si>
    <t>Раздел 8. Вспомогательные здания и сооружения</t>
  </si>
  <si>
    <t>1175-Д00100.2/23-АС</t>
  </si>
  <si>
    <t>Устройство водопроводной камеры В1-1, В1-2, В1-6</t>
  </si>
  <si>
    <t>Дренажных колодцев ДК1-ДК4</t>
  </si>
  <si>
    <t>Устройство ж/б обоймы для прокладки труб водопровода и канализации</t>
  </si>
  <si>
    <t>Монтаж ж/б ограждения</t>
  </si>
  <si>
    <t>Монтаж опор под теплотрассу</t>
  </si>
  <si>
    <t>Монтаж м/к пролетного строение №1, №2, №3 для теплотрассы</t>
  </si>
  <si>
    <t>Устройство фундаментов Ф3, Ф4, Ф5 под пролетное строения теплотрассы</t>
  </si>
  <si>
    <t>Устройство фундаментной плиты ФП-1 - ФП-4</t>
  </si>
  <si>
    <t>Устройство фундамента Ф2, Ф3, Ф4 под распашные работы</t>
  </si>
  <si>
    <t>Устройство кирпичных столбов (вставки) между ж/б ограждения для распашных ворот Вр1 (около насосной пожаротушения)</t>
  </si>
  <si>
    <t>Монтаж распошных ворот Вр1, Вр2, Вр3</t>
  </si>
  <si>
    <t>Устройство решетчатого ограждения (между КПП и ж/б ограждения)</t>
  </si>
  <si>
    <t>Установка металической передвижной опоры ПП-1, стационарной площадки для обслуживания арматуры с ограждением ПСт-1, ПСт-2</t>
  </si>
  <si>
    <t>Устройство фундаментов опор освещения</t>
  </si>
  <si>
    <t>Устройство свай СБ1 под мачту освещение в количкстве 1шт</t>
  </si>
  <si>
    <t>Устройство фундамента Ф1 под мачту освещение в количестве 2шт</t>
  </si>
  <si>
    <t>Монтаж площадки обслуживания П1 для пролетного строения</t>
  </si>
  <si>
    <t>Работы не выполнены</t>
  </si>
  <si>
    <t>Устройство ж/б лоткового канала КЛ-1 на против ЧРП, но на площадке трансформаторной подстанции 80 МВт</t>
  </si>
  <si>
    <t>Раздел 9. Наружные инженерные сети</t>
  </si>
  <si>
    <t>1175-Д00100.2/23-ТС</t>
  </si>
  <si>
    <t>Устройство теплове сети между котельной до ИТП1, ИТП2</t>
  </si>
  <si>
    <t>1175-Д00100.2/23-НВК</t>
  </si>
  <si>
    <t>Устройство водоснабжение В1</t>
  </si>
  <si>
    <t>Устройство бытовой канализации К1</t>
  </si>
  <si>
    <t>Устройство дождевой канализации К2</t>
  </si>
  <si>
    <t>Устройство водопровода автотического пожаротушения В21</t>
  </si>
  <si>
    <t>Устройство обратноное водоснабжения В4, В5</t>
  </si>
  <si>
    <t>Монтаж емкости ЛОС</t>
  </si>
  <si>
    <t>ООО "СК "КИД"</t>
  </si>
  <si>
    <t xml:space="preserve">Монтаж ПУ </t>
  </si>
  <si>
    <t>1175-Д00100.2/23-ГСН</t>
  </si>
  <si>
    <t>ООО "СтройГазХолдинг"</t>
  </si>
  <si>
    <t>Устройство газоснабжение</t>
  </si>
  <si>
    <t>1175-Д00100.2/23-ЭК</t>
  </si>
  <si>
    <t>ООО Привод</t>
  </si>
  <si>
    <t>Кабельные линии</t>
  </si>
  <si>
    <t>1175-Д00100.2/23-ЭГ</t>
  </si>
  <si>
    <t>Молниезащита и заземление</t>
  </si>
  <si>
    <t>1175-Д00100.2/23-ЭН/2</t>
  </si>
  <si>
    <t>Наружное электроосвещение (кроме монтажа мачты освещение 35м)</t>
  </si>
  <si>
    <t>Монтаж мачты освещения 35м</t>
  </si>
  <si>
    <t>ИД- 28.02.26, 
ВОР - подписан</t>
  </si>
  <si>
    <t>1175-Д00100.2/23-ССН</t>
  </si>
  <si>
    <t>Наружные сети связи</t>
  </si>
  <si>
    <t>1175-Д00100.2/23-СОТ, ОС/1</t>
  </si>
  <si>
    <t>Наружные сети: технические средства охраны</t>
  </si>
  <si>
    <t>1175-Д00100.2/23-СДК</t>
  </si>
  <si>
    <t>Система оперативного дистанционного контроля состояния изоляции трубопроводов под теплотрассу</t>
  </si>
  <si>
    <t>Раздел 10. Наружная, внутреняя обвязка трубопровода и монтаж оборудования</t>
  </si>
  <si>
    <t>1175-Д00100.2/23-Нпр/1</t>
  </si>
  <si>
    <t>ООО Спецстроймонтаж</t>
  </si>
  <si>
    <t>Монтаж технологических трубопроводов: Всаса 1,2,3,4 секции</t>
  </si>
  <si>
    <t>Монтаж технологических трубопроводов: Нагнетания 1,2,3,4,5,6 секции</t>
  </si>
  <si>
    <t>Монтаж технологических трубопроводов: Газообразного азота; система аварийного слива масла; площадки хранения газа</t>
  </si>
  <si>
    <t>Монтаж емкости ресивера: азот, смешанного газа, фреона, жидкой двуокиси углерод</t>
  </si>
  <si>
    <t>342.1</t>
  </si>
  <si>
    <t>Монтаж аварийного слива масла</t>
  </si>
  <si>
    <t xml:space="preserve">Монтаж оборудования азотной станции </t>
  </si>
  <si>
    <t>Согласованный проект (переведенный на русский)</t>
  </si>
  <si>
    <t>Монтаж оборудования АВО газа</t>
  </si>
  <si>
    <t>Согласованный проект от изготовителя градирни</t>
  </si>
  <si>
    <t>ООО Завод Электростанции Ресурс</t>
  </si>
  <si>
    <t>Монтаж оборудование градирни</t>
  </si>
  <si>
    <t>Монтаж м/к площадки обслуживание градирни</t>
  </si>
  <si>
    <t>Обвязка трубопроводов  Градирни</t>
  </si>
  <si>
    <t>ПНР градирни</t>
  </si>
  <si>
    <t>Техническое задание №17 от 30.04.2025г.</t>
  </si>
  <si>
    <t>ООО Центр ДИС</t>
  </si>
  <si>
    <t xml:space="preserve">Очистка и нанесение ингибиторной присадки внутри трубопровода </t>
  </si>
  <si>
    <t xml:space="preserve">Очистка и покраска снаружи трубопровода </t>
  </si>
  <si>
    <t>1175-Д00100.2/23-ВПр</t>
  </si>
  <si>
    <t>Можтаж сжатым воздухом</t>
  </si>
  <si>
    <t>Монтаж системы маслоснабжения</t>
  </si>
  <si>
    <t xml:space="preserve">Монтаж трубопровода нагнетания и всаса </t>
  </si>
  <si>
    <t>Монтаж и обвязка винтового компрессорного оборудования, осушителя</t>
  </si>
  <si>
    <t>ВОР - 28.02.26,
ИД - 10.03.26</t>
  </si>
  <si>
    <t>Монтаж поршневых компрессоров, установки ваакумной</t>
  </si>
  <si>
    <t>1175-Д00100.2/23-ВПр/НПр</t>
  </si>
  <si>
    <t>Монтаж трубопровода аварийного слива масла самотечный</t>
  </si>
  <si>
    <t>Раздел 11. Благоустройство территории</t>
  </si>
  <si>
    <t>1175-Д00100.2/23-ГП</t>
  </si>
  <si>
    <t>ООО КСМ</t>
  </si>
  <si>
    <t>Благоустройство территории</t>
  </si>
  <si>
    <t>Закупка и монтаж МАФ</t>
  </si>
  <si>
    <t>ИД - 28.02.26,
 ВОР - подписан</t>
  </si>
  <si>
    <t>График предъявления ИД и ВОР</t>
  </si>
  <si>
    <t> </t>
  </si>
  <si>
    <t>Организация </t>
  </si>
  <si>
    <t>Примечание</t>
  </si>
  <si>
    <t>подписан</t>
  </si>
  <si>
    <t>ИП Михайлов </t>
  </si>
  <si>
    <t>ООО ИТЦ «ТКС-ПОВОЛЖЬЕ»        </t>
  </si>
  <si>
    <t>Овинов Р.В.</t>
  </si>
  <si>
    <t>  - с 08:00 - 12:00</t>
  </si>
  <si>
    <t>  - с 13:00 - 17:00</t>
  </si>
  <si>
    <t>Садертдинов Д.А.</t>
  </si>
  <si>
    <t xml:space="preserve">  - с 08:00 - 17:00</t>
  </si>
  <si>
    <t>- планирования</t>
  </si>
  <si>
    <t>Статистика за 09-13.02.2026г.</t>
  </si>
  <si>
    <t>Количество организации на подтверждение объемов</t>
  </si>
  <si>
    <t>Замечание</t>
  </si>
  <si>
    <t>проверка</t>
  </si>
  <si>
    <t>ВОР</t>
  </si>
  <si>
    <t>ИД</t>
  </si>
  <si>
    <t>Статистика за 16-18.02.2026г.</t>
  </si>
  <si>
    <t>19.02</t>
  </si>
  <si>
    <t>п/п</t>
  </si>
  <si>
    <t>Организация</t>
  </si>
  <si>
    <t>Номер и дата</t>
  </si>
  <si>
    <t>Наименование</t>
  </si>
  <si>
    <t>Подписан всеми представителями </t>
  </si>
  <si>
    <t>Сметная стоимость, руб</t>
  </si>
  <si>
    <t>Согласование с Заказчиком</t>
  </si>
  <si>
    <t>№1 от 22.04.2024г.</t>
  </si>
  <si>
    <t>Вывоз грунта за пределы строительной площадки на прилегающую к объекту территории</t>
  </si>
  <si>
    <t>№б/н 2024г.</t>
  </si>
  <si>
    <t>Использование дизель генераторы</t>
  </si>
  <si>
    <t>в процессе</t>
  </si>
  <si>
    <t>№9/1-ОГЗ от 03.09.2024г.</t>
  </si>
  <si>
    <t>Пескоструйная обработка м/к для нанесение огнезащиты (элементы поставленны с финишным покрытием)</t>
  </si>
  <si>
    <t>№1-ГК/СРК от 25.10.2024г.</t>
  </si>
  <si>
    <t>Разработка котлована и обратная засыпка под фундаменты газового контура (изменение ПСД по высотным отметкам и типа фундаментов)</t>
  </si>
  <si>
    <t>№2 от 26.11.2024г.</t>
  </si>
  <si>
    <t>Демонтаж и монтаж профнастила на кровле основного цеха в осях 6/А-В, 9/А-В, 10/А-В, 11/А-В, 23/В-Д, 25/А-Д для ОГЗ и установки шахт</t>
  </si>
  <si>
    <t>№б/н от 30.11.2024г.</t>
  </si>
  <si>
    <t>Монтаж дополнительного стального уголка 100*100*7 на парапете для крепления в нижней части сэндвич панелей</t>
  </si>
  <si>
    <t>№4 от 27.01.2025г.</t>
  </si>
  <si>
    <t>Демонтаж и монтаж профнастила на кровле основного цеха в осях 5-7/Д-М для монтажа мостового крана 400тн </t>
  </si>
  <si>
    <t>№5 от 04.02.2025г.</t>
  </si>
  <si>
    <t>Демонтаж и монтаж профнастила на кровле ЧРП по оси М для монтажа перегород из сэндвич панелей </t>
  </si>
  <si>
    <t>№6 от 26.02.2025г.</t>
  </si>
  <si>
    <t>Демонтаж и монтаж профнастила на кровле ЧРП по оси 19/1-26/1/Р-Т для монтажа перегород из сэндвич панелей </t>
  </si>
  <si>
    <t>№б/н от 04.04.2025г.</t>
  </si>
  <si>
    <t>Демонтаж буронабивных свай под опоры освещения</t>
  </si>
  <si>
    <t>№1 от 07.08.2025г.</t>
  </si>
  <si>
    <t>Валка деревьев, трелевка, раскряжевка, корчевка и вывоз деревьев</t>
  </si>
  <si>
    <t>№1 от 22.09.2025г.</t>
  </si>
  <si>
    <t>Механическая очистка элементы  лестницы ЛМ1 по оси 17/1-26/1/М-Н (элементы поставленны с финишным покрытием)</t>
  </si>
  <si>
    <t>№1-АР17  2025г.</t>
  </si>
  <si>
    <t>Устройство вентшахт в здании КПП (кирпичная кладка, утепление, мембрана, композитные панели и защитный зонт</t>
  </si>
  <si>
    <t>№б/н  2025г.</t>
  </si>
  <si>
    <t>Демонтаж и монтаж наружных стен из сэндвич панели для монтажа мостового крана 400тн.</t>
  </si>
  <si>
    <t>Изготовление площадок обслуживания АВОГ-2</t>
  </si>
  <si>
    <t>ВОР №2/23-5-АС</t>
  </si>
  <si>
    <t>Резка и приварка опорных конструкций теплотрассы</t>
  </si>
  <si>
    <t>согласовано исх №40/20854 от 15.12.25</t>
  </si>
  <si>
    <t>1175-Д00100.2/23-5-АС изм. Р0263 от 07.02.25 лист 4</t>
  </si>
  <si>
    <t>ВОР №2/23-АС</t>
  </si>
  <si>
    <t>Площадка хранения газа</t>
  </si>
  <si>
    <t>ВОР №1-2/23-5-КМ2</t>
  </si>
  <si>
    <t>Доработка опор лестничных маршей</t>
  </si>
  <si>
    <t>1175-Д00100.2/23-5-КМ2</t>
  </si>
  <si>
    <t>№1-ЭК от 13.03.2025г.</t>
  </si>
  <si>
    <t xml:space="preserve">Разработка котлована, укладка и демонтаж трубы полимерной (гильзы) с обратной засыпки за площадкой АВО газа (АТ-102, АТ-103) </t>
  </si>
  <si>
    <t>№2 кнд-квд от 25.12.2024</t>
  </si>
  <si>
    <t>Монтаж пластин под балки МФПЛ-1, МФПЛ-2</t>
  </si>
  <si>
    <t>ООО ГК Спецстроймонтаж</t>
  </si>
  <si>
    <t>№1 от 28.07.2025</t>
  </si>
  <si>
    <t>НПр Линия 5.1 Трубопровод азота на площадке хранения газов, линия 5.4 Трубопровод углекислого газа</t>
  </si>
  <si>
    <t>№2 от 28.07.2025</t>
  </si>
  <si>
    <t>НПр Трубопровод нагнетания I секции</t>
  </si>
  <si>
    <t>№3 от 08.08.2025</t>
  </si>
  <si>
    <t>НПр Линия 5.1 Трубопровод азота на площадке хранения газов, линия 5.4 Трубопровод углекислого газа, линия 5.2 Трубопровод фреона</t>
  </si>
  <si>
    <t>№4 от 12.08.2025</t>
  </si>
  <si>
    <t>НПр Линия 5.2 Трубопровод фреона</t>
  </si>
  <si>
    <t>№5 от 12.08.2025</t>
  </si>
  <si>
    <t>НПр Трубопровод нагнетания/всаса I секции</t>
  </si>
  <si>
    <t>№6 от 12.08.2025</t>
  </si>
  <si>
    <t>№7 от 21.08.2025</t>
  </si>
  <si>
    <t>НПр Оборудование тех.позиции 52-АТ 101</t>
  </si>
  <si>
    <t>№8 от 21.08.2025</t>
  </si>
  <si>
    <t>НПр Трубопровод всаса VI секции</t>
  </si>
  <si>
    <t>№9 от 09.10.2025</t>
  </si>
  <si>
    <t>НПр Трубопровод нагнетания/всаса II секции</t>
  </si>
  <si>
    <t>№12 от 07.11.2025</t>
  </si>
  <si>
    <t>НПр Площадка хранения газа. Линия 5.1 трубопровод азота</t>
  </si>
  <si>
    <t>№13 от 11.11.2025</t>
  </si>
  <si>
    <t>НПр Трубопровод всаса II секции</t>
  </si>
  <si>
    <t>№14 от 18.11.2025</t>
  </si>
  <si>
    <t>НПр Трубопровод нагнетания IV секция</t>
  </si>
  <si>
    <t>№15 от 23.12.2025</t>
  </si>
  <si>
    <t>НПр Трубопроводы всаса/нагнетания</t>
  </si>
  <si>
    <t>№1 от 13.08.2025</t>
  </si>
  <si>
    <t>ВПр Трубопровод всаса I секции</t>
  </si>
  <si>
    <t>№2 от 13.08.2025</t>
  </si>
  <si>
    <t>№3 от 13.08.2025</t>
  </si>
  <si>
    <t>№5 от 09.10.2025</t>
  </si>
  <si>
    <t>ВПр Трубопровод всаса II секции</t>
  </si>
  <si>
    <t>№8 от 24.11.2025</t>
  </si>
  <si>
    <t>ВПр Трубопровод азота</t>
  </si>
  <si>
    <t>№9 от 25.11.2025</t>
  </si>
  <si>
    <t>ВПр Трубопровод сжатого воздуха</t>
  </si>
  <si>
    <t>№10 от 27.12.2025</t>
  </si>
  <si>
    <t>ВПр Трубопровод масла подающий</t>
  </si>
  <si>
    <t>№11 от 11.12.2025</t>
  </si>
  <si>
    <t>ВПр Монтаж и сборка трубных узлов маслоагрегата, монтаж блока фильтров, монтаж маслоагрегата</t>
  </si>
  <si>
    <t>№12 от 22.12.2025</t>
  </si>
  <si>
    <t>ВПр Линия 8.2.3 Трубопровод масла к теплообменнику</t>
  </si>
  <si>
    <t>№13 от 22.12.2025</t>
  </si>
  <si>
    <t>ВПр Линия 8.2.4 Трубопровод масла от теплообменника</t>
  </si>
  <si>
    <t>№14 от 22.12.2025</t>
  </si>
  <si>
    <t>ВПр Линия 8.2.2 Трубопровод суфлирования масла</t>
  </si>
  <si>
    <t>№15 от 29.12.2025</t>
  </si>
  <si>
    <t>ВПр Линия 8.2 Трубопровод масла подающий</t>
  </si>
  <si>
    <t>№16 от 30.12.2025</t>
  </si>
  <si>
    <t>ЛСР на замену машино-механизмов</t>
  </si>
  <si>
    <t>Монтаж трубопроводов воздушников и дренажей ресирверов</t>
  </si>
  <si>
    <t>Очистка поверхности трубопроводов</t>
  </si>
  <si>
    <t>Монтаж трубопроводов по системе обвязки СО2</t>
  </si>
  <si>
    <t>№ б/н от 24.11.2025</t>
  </si>
  <si>
    <t>Устройство тепловых сетей</t>
  </si>
  <si>
    <t>ООО Прайд</t>
  </si>
  <si>
    <t>Устройство подливки полов</t>
  </si>
  <si>
    <t>№2 от 05.07.2025</t>
  </si>
  <si>
    <t>Обеспыливание и заделка штроб в полу АБК 2 этаж</t>
  </si>
  <si>
    <t>№3 от 05.07.2025</t>
  </si>
  <si>
    <t>Обеспыливание и заделка штроб в полу АБК 3 этаж</t>
  </si>
  <si>
    <t>№4 от 05.07.2025</t>
  </si>
  <si>
    <t>Обеспыливание стен и заделка штроб АБК 3 этаж</t>
  </si>
  <si>
    <t>№5 от 05.07.2025</t>
  </si>
  <si>
    <t xml:space="preserve">Обеспыливание стен и заделка штроб АБК 3 этаж </t>
  </si>
  <si>
    <t>№6  от 05.07.2025</t>
  </si>
  <si>
    <t>№10 от 14.07.2025</t>
  </si>
  <si>
    <t>Герметизация отверстий АБК</t>
  </si>
  <si>
    <t>№11 от 14.07.2025</t>
  </si>
  <si>
    <t>Алмазное бурение в ЖБ конструкциях</t>
  </si>
  <si>
    <t>№13 от 14.07.2025</t>
  </si>
  <si>
    <t xml:space="preserve">Алмазное бурение в ЖБ конструкциях </t>
  </si>
  <si>
    <t>№15 от 15.07.2025</t>
  </si>
  <si>
    <t>Герметизация отверстий КПП</t>
  </si>
  <si>
    <t>№18 от 23.07.2025</t>
  </si>
  <si>
    <t xml:space="preserve">Монтаж гипсокартонных листов АБК </t>
  </si>
  <si>
    <t>№43 от 20.03.2025</t>
  </si>
  <si>
    <t>Монтаж/демонтаж клиновых лесов</t>
  </si>
  <si>
    <t>№50 от 25.10.2025</t>
  </si>
  <si>
    <t xml:space="preserve">Съемный пол помещение пультовой </t>
  </si>
  <si>
    <t>№58 от 28.11.2025</t>
  </si>
  <si>
    <t xml:space="preserve">Заполнение проемов АБК </t>
  </si>
  <si>
    <t>№59 от 28.11.2025</t>
  </si>
  <si>
    <t>№2 от 25.08.2025</t>
  </si>
  <si>
    <t>Изменение размеров проемов</t>
  </si>
  <si>
    <t>№1-ГТД</t>
  </si>
  <si>
    <t>Дополнительные работы ГТД</t>
  </si>
  <si>
    <t>№2 от 02.06.2025</t>
  </si>
  <si>
    <t>ДЭС</t>
  </si>
  <si>
    <t>№2 от 12.04.2024</t>
  </si>
  <si>
    <t>Устройство подбетонки</t>
  </si>
  <si>
    <t xml:space="preserve">№3 </t>
  </si>
  <si>
    <t>№б/н от 12.05.2025</t>
  </si>
  <si>
    <t>№б/н от 06.06.2024</t>
  </si>
  <si>
    <t>Демонтаж/монтаж бетонного основания</t>
  </si>
  <si>
    <t>№б/н от 15.03.2024</t>
  </si>
  <si>
    <t xml:space="preserve">Разработка мерзлого грунта </t>
  </si>
  <si>
    <t>№б/н</t>
  </si>
  <si>
    <t>Дополнительные работы по монтажу опор и площадок обслуживания под газовый контур</t>
  </si>
  <si>
    <t>ВОР подписан, 
ИД -28.02.26</t>
  </si>
  <si>
    <t>Сдано в архив</t>
  </si>
  <si>
    <t>Подписан 5экз. (замечания, которые не соотвествуют  по регламенту передачи ИД заказчику)</t>
  </si>
  <si>
    <t>Подписаны 5экз., но не передан</t>
  </si>
  <si>
    <t>Подписан 1экз. размножении</t>
  </si>
  <si>
    <t>Подписан 1 экз</t>
  </si>
  <si>
    <t>Устройство роствекров в осях А-М/1-13; А-Е/26-27</t>
  </si>
  <si>
    <t>ИД - 28.02.2026, ВОР- подписан</t>
  </si>
  <si>
    <t>ИД- 28.02.2026, ВОР- подписан</t>
  </si>
  <si>
    <t>ВОР 27.02.2026, 
ИД 03.03.26</t>
  </si>
  <si>
    <t>ВОР - 27.02.2026</t>
  </si>
  <si>
    <t>Погружение свай в осях 27-30/А-Е</t>
  </si>
  <si>
    <t>Срубка свай и устройство роствекров в осях 27-30/А-Е</t>
  </si>
  <si>
    <t>ИД-03.03.2026, ВОР- 27.02.26</t>
  </si>
  <si>
    <t>ВОР 28.02.2026, ИД - 10.03.2026</t>
  </si>
  <si>
    <t>ВОР 28.02.2026, ИД - 05.03.2026</t>
  </si>
  <si>
    <t xml:space="preserve">График предоставления  исполнительно-технической документации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</si>
</sst>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.00\ [$₽-19]_-;\-* #,##0.00\ [$₽-19]_-;_-* &quot;-&quot;??\ [$₽-19]_-;_-@_-"/>
  </numFmts>
  <fonts count="27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9"/>
      <name val="Times New Roman"/>
    </font>
    <font>
      <b/>
      <sz val="9"/>
      <color theme="1"/>
      <name val="Times New Roman"/>
    </font>
    <font>
      <b/>
      <sz val="9"/>
      <color rgb="FF231F20"/>
      <name val="Times New Roman"/>
    </font>
    <font>
      <b/>
      <sz val="10"/>
      <color rgb="FF231F20"/>
      <name val="Times New Roman"/>
    </font>
    <font>
      <b/>
      <sz val="11"/>
      <color rgb="FF231F20"/>
      <name val="Times New Roman"/>
    </font>
    <font>
      <sz val="11"/>
      <color theme="1"/>
      <name val="Times New Roman"/>
    </font>
    <font>
      <sz val="9"/>
      <color rgb="FF231F20"/>
      <name val="Times New Roman"/>
    </font>
    <font>
      <sz val="9"/>
      <name val="Times New Roman"/>
    </font>
    <font>
      <sz val="8"/>
      <color theme="1"/>
      <name val="Times New Roman"/>
    </font>
    <font>
      <sz val="10"/>
      <color theme="1"/>
      <name val="Times New Roman"/>
    </font>
    <font>
      <sz val="8"/>
      <name val="Times New Roman"/>
    </font>
    <font>
      <sz val="8"/>
      <color rgb="FF231F20"/>
      <name val="Times New Roman"/>
    </font>
    <font>
      <sz val="9"/>
      <color theme="1"/>
      <name val="Times New Roman"/>
    </font>
    <font>
      <sz val="11"/>
      <color rgb="FF231F20"/>
      <name val="Times New Roman"/>
    </font>
    <font>
      <b/>
      <sz val="11"/>
      <name val="Calibri"/>
    </font>
    <font>
      <sz val="11"/>
      <name val="Calibri"/>
    </font>
    <font>
      <b/>
      <sz val="11"/>
      <name val="Times New Roman"/>
    </font>
    <font>
      <sz val="11"/>
      <name val="Times New Roman"/>
    </font>
    <font>
      <sz val="11"/>
      <color indexed="5"/>
      <name val="Calibri"/>
    </font>
    <font>
      <sz val="11"/>
      <color indexed="2"/>
      <name val="Calibri"/>
    </font>
    <font>
      <sz val="10"/>
      <color theme="1"/>
      <name val="Calibri"/>
      <scheme val="minor"/>
    </font>
    <font>
      <sz val="11"/>
      <color theme="1"/>
      <name val="Calibri"/>
      <scheme val="minor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9"/>
      <name val="Times New Roman"/>
      <family val="1"/>
      <charset val="204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rgb="FFFFC000"/>
        <bgColor rgb="FFFFC000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3" tint="0.39997558519241921"/>
        <bgColor theme="3" tint="0.39997558519241921"/>
      </patternFill>
    </fill>
    <fill>
      <patternFill patternType="solid">
        <fgColor rgb="FF305496"/>
        <bgColor rgb="FF305496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6" tint="0.39997558519241921"/>
        <bgColor theme="0"/>
      </patternFill>
    </fill>
    <fill>
      <patternFill patternType="solid">
        <fgColor rgb="FFC8C8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10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4" fontId="23" fillId="2" borderId="0" applyFont="0" applyFill="0" applyBorder="0"/>
  </cellStyleXfs>
  <cellXfs count="660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/>
    <xf numFmtId="0" fontId="1" fillId="3" borderId="0" xfId="0" applyFont="1" applyFill="1"/>
    <xf numFmtId="0" fontId="2" fillId="0" borderId="15" xfId="0" applyFont="1" applyBorder="1" applyAlignment="1">
      <alignment horizontal="center" vertical="center" wrapText="1"/>
    </xf>
    <xf numFmtId="0" fontId="0" fillId="4" borderId="7" xfId="0" applyFill="1" applyBorder="1"/>
    <xf numFmtId="0" fontId="0" fillId="3" borderId="7" xfId="0" applyFill="1" applyBorder="1"/>
    <xf numFmtId="0" fontId="8" fillId="0" borderId="20" xfId="0" applyFont="1" applyBorder="1" applyAlignment="1">
      <alignment horizontal="center" vertical="center" wrapText="1"/>
    </xf>
    <xf numFmtId="0" fontId="9" fillId="7" borderId="8" xfId="0" applyFont="1" applyFill="1" applyBorder="1" applyAlignment="1">
      <alignment horizontal="left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0" fillId="7" borderId="7" xfId="0" applyFill="1" applyBorder="1"/>
    <xf numFmtId="0" fontId="0" fillId="4" borderId="15" xfId="0" applyFill="1" applyBorder="1"/>
    <xf numFmtId="0" fontId="9" fillId="3" borderId="15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vertical="center" wrapText="1"/>
    </xf>
    <xf numFmtId="0" fontId="0" fillId="3" borderId="15" xfId="0" applyFill="1" applyBorder="1"/>
    <xf numFmtId="0" fontId="9" fillId="7" borderId="17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left" vertical="center" wrapText="1"/>
    </xf>
    <xf numFmtId="0" fontId="10" fillId="0" borderId="15" xfId="0" applyFont="1" applyBorder="1" applyAlignment="1">
      <alignment wrapText="1"/>
    </xf>
    <xf numFmtId="0" fontId="10" fillId="0" borderId="15" xfId="0" applyFont="1" applyBorder="1" applyAlignment="1">
      <alignment vertical="top" wrapText="1"/>
    </xf>
    <xf numFmtId="0" fontId="9" fillId="5" borderId="23" xfId="0" applyFont="1" applyFill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left" vertical="center" wrapText="1"/>
    </xf>
    <xf numFmtId="0" fontId="12" fillId="5" borderId="24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left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vertical="top" wrapText="1"/>
    </xf>
    <xf numFmtId="0" fontId="8" fillId="0" borderId="27" xfId="0" applyFont="1" applyBorder="1" applyAlignment="1">
      <alignment horizontal="center" vertical="center" wrapText="1"/>
    </xf>
    <xf numFmtId="0" fontId="12" fillId="8" borderId="15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0" fillId="0" borderId="0" xfId="0"/>
    <xf numFmtId="0" fontId="9" fillId="5" borderId="15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14" fontId="9" fillId="5" borderId="29" xfId="0" applyNumberFormat="1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vertical="top" wrapText="1"/>
    </xf>
    <xf numFmtId="0" fontId="9" fillId="3" borderId="30" xfId="0" applyFont="1" applyFill="1" applyBorder="1" applyAlignment="1">
      <alignment horizontal="left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top" wrapText="1"/>
    </xf>
    <xf numFmtId="0" fontId="9" fillId="3" borderId="7" xfId="0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14" fontId="9" fillId="7" borderId="15" xfId="0" applyNumberFormat="1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center" vertical="center" wrapText="1"/>
    </xf>
    <xf numFmtId="14" fontId="9" fillId="3" borderId="29" xfId="0" applyNumberFormat="1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left" vertical="center" wrapText="1"/>
    </xf>
    <xf numFmtId="0" fontId="14" fillId="0" borderId="15" xfId="0" applyFont="1" applyBorder="1"/>
    <xf numFmtId="0" fontId="14" fillId="0" borderId="15" xfId="0" applyFont="1" applyBorder="1" applyAlignment="1">
      <alignment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left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9" fillId="5" borderId="34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left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9" fillId="5" borderId="35" xfId="0" applyFont="1" applyFill="1" applyBorder="1" applyAlignment="1">
      <alignment horizontal="left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wrapText="1"/>
    </xf>
    <xf numFmtId="0" fontId="9" fillId="8" borderId="30" xfId="0" applyFont="1" applyFill="1" applyBorder="1" applyAlignment="1">
      <alignment horizontal="center" vertical="center" wrapText="1"/>
    </xf>
    <xf numFmtId="0" fontId="8" fillId="8" borderId="30" xfId="0" applyFont="1" applyFill="1" applyBorder="1" applyAlignment="1">
      <alignment horizontal="left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8" fillId="0" borderId="36" xfId="0" applyFont="1" applyBorder="1" applyAlignment="1">
      <alignment horizontal="center" vertical="center" wrapText="1"/>
    </xf>
    <xf numFmtId="0" fontId="9" fillId="5" borderId="20" xfId="0" applyFont="1" applyFill="1" applyBorder="1" applyAlignment="1">
      <alignment vertical="center" wrapText="1"/>
    </xf>
    <xf numFmtId="0" fontId="9" fillId="5" borderId="37" xfId="0" applyFont="1" applyFill="1" applyBorder="1" applyAlignment="1">
      <alignment horizontal="left" vertical="center" wrapText="1"/>
    </xf>
    <xf numFmtId="0" fontId="8" fillId="0" borderId="38" xfId="0" applyFont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14" fontId="9" fillId="5" borderId="7" xfId="0" applyNumberFormat="1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left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wrapText="1"/>
    </xf>
    <xf numFmtId="0" fontId="9" fillId="8" borderId="30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28" xfId="0" applyFont="1" applyFill="1" applyBorder="1" applyAlignment="1">
      <alignment horizontal="center" vertical="center" wrapText="1"/>
    </xf>
    <xf numFmtId="0" fontId="8" fillId="7" borderId="28" xfId="0" applyFont="1" applyFill="1" applyBorder="1" applyAlignment="1">
      <alignment horizontal="left" vertical="center" wrapText="1"/>
    </xf>
    <xf numFmtId="0" fontId="9" fillId="8" borderId="43" xfId="0" applyFont="1" applyFill="1" applyBorder="1" applyAlignment="1">
      <alignment horizontal="center" vertical="center" wrapText="1"/>
    </xf>
    <xf numFmtId="0" fontId="9" fillId="8" borderId="44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9" fillId="5" borderId="28" xfId="0" applyFont="1" applyFill="1" applyBorder="1" applyAlignment="1">
      <alignment horizontal="left" vertical="center" wrapText="1"/>
    </xf>
    <xf numFmtId="0" fontId="12" fillId="8" borderId="17" xfId="0" applyFont="1" applyFill="1" applyBorder="1" applyAlignment="1">
      <alignment horizontal="center" vertical="center" wrapText="1"/>
    </xf>
    <xf numFmtId="0" fontId="9" fillId="5" borderId="28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vertical="top" wrapText="1"/>
    </xf>
    <xf numFmtId="0" fontId="9" fillId="5" borderId="33" xfId="0" applyFont="1" applyFill="1" applyBorder="1" applyAlignment="1">
      <alignment horizontal="center" vertical="center" wrapText="1"/>
    </xf>
    <xf numFmtId="0" fontId="9" fillId="5" borderId="34" xfId="0" applyFont="1" applyFill="1" applyBorder="1" applyAlignment="1">
      <alignment horizontal="left" vertical="center" wrapText="1"/>
    </xf>
    <xf numFmtId="0" fontId="12" fillId="5" borderId="34" xfId="0" applyFont="1" applyFill="1" applyBorder="1" applyAlignment="1">
      <alignment horizontal="center" vertical="center" wrapText="1"/>
    </xf>
    <xf numFmtId="14" fontId="9" fillId="5" borderId="34" xfId="0" applyNumberFormat="1" applyFont="1" applyFill="1" applyBorder="1" applyAlignment="1">
      <alignment horizontal="center" vertical="center" wrapText="1"/>
    </xf>
    <xf numFmtId="0" fontId="14" fillId="0" borderId="34" xfId="0" applyFont="1" applyBorder="1"/>
    <xf numFmtId="0" fontId="9" fillId="8" borderId="24" xfId="0" applyFont="1" applyFill="1" applyBorder="1" applyAlignment="1">
      <alignment horizontal="left" vertical="center" wrapText="1"/>
    </xf>
    <xf numFmtId="0" fontId="12" fillId="8" borderId="29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vertical="center" wrapText="1"/>
    </xf>
    <xf numFmtId="0" fontId="10" fillId="0" borderId="8" xfId="0" applyFont="1" applyBorder="1" applyAlignment="1">
      <alignment wrapText="1"/>
    </xf>
    <xf numFmtId="0" fontId="9" fillId="5" borderId="29" xfId="0" applyFont="1" applyFill="1" applyBorder="1" applyAlignment="1">
      <alignment horizontal="left" vertical="center" wrapText="1"/>
    </xf>
    <xf numFmtId="0" fontId="12" fillId="5" borderId="29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wrapText="1"/>
    </xf>
    <xf numFmtId="0" fontId="9" fillId="5" borderId="8" xfId="0" applyFont="1" applyFill="1" applyBorder="1" applyAlignment="1">
      <alignment horizontal="left" vertical="center" wrapText="1"/>
    </xf>
    <xf numFmtId="14" fontId="9" fillId="5" borderId="8" xfId="0" applyNumberFormat="1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left" vertical="center" wrapText="1"/>
    </xf>
    <xf numFmtId="0" fontId="9" fillId="5" borderId="0" xfId="0" applyFont="1" applyFill="1" applyAlignment="1">
      <alignment horizontal="center" vertical="center" wrapText="1"/>
    </xf>
    <xf numFmtId="14" fontId="9" fillId="5" borderId="20" xfId="0" applyNumberFormat="1" applyFont="1" applyFill="1" applyBorder="1" applyAlignment="1">
      <alignment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4" fontId="9" fillId="5" borderId="29" xfId="0" applyNumberFormat="1" applyFont="1" applyFill="1" applyBorder="1" applyAlignment="1">
      <alignment vertical="center" wrapText="1"/>
    </xf>
    <xf numFmtId="0" fontId="14" fillId="0" borderId="24" xfId="0" applyFont="1" applyBorder="1" applyAlignment="1">
      <alignment wrapText="1"/>
    </xf>
    <xf numFmtId="0" fontId="9" fillId="3" borderId="31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wrapText="1"/>
    </xf>
    <xf numFmtId="0" fontId="8" fillId="5" borderId="47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left" vertical="center" wrapText="1"/>
    </xf>
    <xf numFmtId="0" fontId="4" fillId="6" borderId="32" xfId="0" applyFont="1" applyFill="1" applyBorder="1" applyAlignment="1">
      <alignment horizontal="left" vertical="center" wrapText="1"/>
    </xf>
    <xf numFmtId="0" fontId="7" fillId="6" borderId="34" xfId="0" applyFont="1" applyFill="1" applyBorder="1"/>
    <xf numFmtId="0" fontId="9" fillId="3" borderId="9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vertical="center" wrapText="1"/>
    </xf>
    <xf numFmtId="0" fontId="9" fillId="8" borderId="50" xfId="0" applyFont="1" applyFill="1" applyBorder="1" applyAlignment="1">
      <alignment horizontal="center" vertical="center" wrapText="1"/>
    </xf>
    <xf numFmtId="0" fontId="9" fillId="8" borderId="51" xfId="0" applyFont="1" applyFill="1" applyBorder="1" applyAlignment="1">
      <alignment horizontal="center" vertical="center" wrapText="1"/>
    </xf>
    <xf numFmtId="0" fontId="9" fillId="5" borderId="52" xfId="0" applyFont="1" applyFill="1" applyBorder="1" applyAlignment="1">
      <alignment horizontal="center" vertical="center" wrapText="1"/>
    </xf>
    <xf numFmtId="0" fontId="9" fillId="5" borderId="53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wrapText="1"/>
    </xf>
    <xf numFmtId="14" fontId="9" fillId="5" borderId="20" xfId="0" applyNumberFormat="1" applyFont="1" applyFill="1" applyBorder="1" applyAlignment="1">
      <alignment vertical="center"/>
    </xf>
    <xf numFmtId="0" fontId="9" fillId="6" borderId="30" xfId="0" applyFont="1" applyFill="1" applyBorder="1" applyAlignment="1">
      <alignment horizontal="left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9" fillId="7" borderId="31" xfId="0" applyFont="1" applyFill="1" applyBorder="1" applyAlignment="1">
      <alignment horizontal="center" vertical="center" wrapText="1"/>
    </xf>
    <xf numFmtId="0" fontId="9" fillId="7" borderId="54" xfId="0" applyFont="1" applyFill="1" applyBorder="1" applyAlignment="1">
      <alignment horizontal="center" vertical="center" wrapText="1"/>
    </xf>
    <xf numFmtId="0" fontId="14" fillId="7" borderId="55" xfId="0" applyFont="1" applyFill="1" applyBorder="1" applyAlignment="1">
      <alignment wrapText="1"/>
    </xf>
    <xf numFmtId="0" fontId="0" fillId="7" borderId="56" xfId="0" applyFill="1" applyBorder="1"/>
    <xf numFmtId="0" fontId="8" fillId="3" borderId="28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4" fillId="5" borderId="29" xfId="0" applyFont="1" applyFill="1" applyBorder="1" applyAlignment="1">
      <alignment horizontal="center" vertical="center" wrapText="1"/>
    </xf>
    <xf numFmtId="14" fontId="8" fillId="5" borderId="23" xfId="0" applyNumberFormat="1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left" vertical="center" wrapText="1"/>
    </xf>
    <xf numFmtId="0" fontId="9" fillId="8" borderId="15" xfId="0" applyFont="1" applyFill="1" applyBorder="1" applyAlignment="1">
      <alignment horizontal="left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9" fillId="8" borderId="57" xfId="0" applyFont="1" applyFill="1" applyBorder="1" applyAlignment="1">
      <alignment horizontal="center" vertical="center" wrapText="1"/>
    </xf>
    <xf numFmtId="14" fontId="9" fillId="5" borderId="15" xfId="0" applyNumberFormat="1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left" vertical="center" wrapText="1"/>
    </xf>
    <xf numFmtId="0" fontId="9" fillId="7" borderId="23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5" fillId="6" borderId="58" xfId="0" applyFont="1" applyFill="1" applyBorder="1" applyAlignment="1">
      <alignment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30" xfId="0" applyFont="1" applyFill="1" applyBorder="1" applyAlignment="1">
      <alignment horizontal="left" vertical="center" wrapText="1"/>
    </xf>
    <xf numFmtId="0" fontId="8" fillId="7" borderId="9" xfId="0" applyFont="1" applyFill="1" applyBorder="1" applyAlignment="1">
      <alignment horizontal="left" vertical="center" wrapText="1"/>
    </xf>
    <xf numFmtId="0" fontId="8" fillId="0" borderId="61" xfId="0" applyFont="1" applyBorder="1" applyAlignment="1">
      <alignment horizontal="center" vertical="center" wrapText="1"/>
    </xf>
    <xf numFmtId="0" fontId="9" fillId="7" borderId="62" xfId="0" applyFont="1" applyFill="1" applyBorder="1" applyAlignment="1">
      <alignment horizontal="center" vertical="center" wrapText="1"/>
    </xf>
    <xf numFmtId="0" fontId="9" fillId="7" borderId="63" xfId="0" applyFont="1" applyFill="1" applyBorder="1" applyAlignment="1">
      <alignment horizontal="center" vertical="center" wrapText="1"/>
    </xf>
    <xf numFmtId="0" fontId="9" fillId="8" borderId="62" xfId="0" applyFont="1" applyFill="1" applyBorder="1" applyAlignment="1">
      <alignment horizontal="center" vertical="center" wrapText="1"/>
    </xf>
    <xf numFmtId="0" fontId="9" fillId="8" borderId="63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4" fillId="0" borderId="8" xfId="0" applyFont="1" applyBorder="1"/>
    <xf numFmtId="0" fontId="9" fillId="5" borderId="64" xfId="0" applyFont="1" applyFill="1" applyBorder="1" applyAlignment="1">
      <alignment horizontal="center" vertical="center" wrapText="1"/>
    </xf>
    <xf numFmtId="0" fontId="9" fillId="7" borderId="33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left" vertical="center" wrapText="1"/>
    </xf>
    <xf numFmtId="0" fontId="9" fillId="7" borderId="34" xfId="0" applyFont="1" applyFill="1" applyBorder="1" applyAlignment="1">
      <alignment horizontal="center" vertical="center" wrapText="1"/>
    </xf>
    <xf numFmtId="0" fontId="9" fillId="3" borderId="64" xfId="0" applyFont="1" applyFill="1" applyBorder="1" applyAlignment="1">
      <alignment horizontal="center" vertical="center" wrapText="1"/>
    </xf>
    <xf numFmtId="0" fontId="9" fillId="8" borderId="65" xfId="0" applyFont="1" applyFill="1" applyBorder="1" applyAlignment="1">
      <alignment horizontal="center" vertical="center" wrapText="1"/>
    </xf>
    <xf numFmtId="14" fontId="9" fillId="5" borderId="24" xfId="0" applyNumberFormat="1" applyFont="1" applyFill="1" applyBorder="1" applyAlignment="1">
      <alignment horizontal="center" vertical="center" wrapText="1"/>
    </xf>
    <xf numFmtId="14" fontId="9" fillId="5" borderId="35" xfId="0" applyNumberFormat="1" applyFont="1" applyFill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9" fillId="8" borderId="28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14" fontId="9" fillId="0" borderId="29" xfId="0" applyNumberFormat="1" applyFont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 wrapText="1"/>
    </xf>
    <xf numFmtId="0" fontId="8" fillId="3" borderId="47" xfId="0" applyFont="1" applyFill="1" applyBorder="1" applyAlignment="1">
      <alignment horizontal="center" vertical="center" wrapText="1"/>
    </xf>
    <xf numFmtId="0" fontId="8" fillId="7" borderId="34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8" borderId="35" xfId="0" applyFont="1" applyFill="1" applyBorder="1" applyAlignment="1">
      <alignment horizontal="left" vertical="center" wrapText="1"/>
    </xf>
    <xf numFmtId="0" fontId="9" fillId="8" borderId="24" xfId="0" applyFont="1" applyFill="1" applyBorder="1" applyAlignment="1">
      <alignment horizontal="center" vertical="center" wrapText="1"/>
    </xf>
    <xf numFmtId="14" fontId="9" fillId="8" borderId="29" xfId="0" applyNumberFormat="1" applyFont="1" applyFill="1" applyBorder="1" applyAlignment="1">
      <alignment horizontal="center" vertical="center" wrapText="1"/>
    </xf>
    <xf numFmtId="0" fontId="9" fillId="7" borderId="49" xfId="0" applyFont="1" applyFill="1" applyBorder="1" applyAlignment="1">
      <alignment horizontal="center" vertical="center" wrapText="1"/>
    </xf>
    <xf numFmtId="0" fontId="9" fillId="7" borderId="50" xfId="0" applyFont="1" applyFill="1" applyBorder="1" applyAlignment="1">
      <alignment horizontal="center" vertical="center" wrapText="1"/>
    </xf>
    <xf numFmtId="0" fontId="9" fillId="7" borderId="66" xfId="0" applyFont="1" applyFill="1" applyBorder="1" applyAlignment="1">
      <alignment horizontal="center" vertical="center" wrapText="1"/>
    </xf>
    <xf numFmtId="0" fontId="14" fillId="0" borderId="24" xfId="0" applyFont="1" applyBorder="1"/>
    <xf numFmtId="0" fontId="9" fillId="8" borderId="28" xfId="0" applyFont="1" applyFill="1" applyBorder="1" applyAlignment="1">
      <alignment horizontal="center" vertical="center" wrapText="1"/>
    </xf>
    <xf numFmtId="0" fontId="14" fillId="8" borderId="15" xfId="0" applyFont="1" applyFill="1" applyBorder="1" applyAlignment="1">
      <alignment vertical="top" wrapText="1"/>
    </xf>
    <xf numFmtId="0" fontId="0" fillId="8" borderId="7" xfId="0" applyFill="1" applyBorder="1"/>
    <xf numFmtId="0" fontId="14" fillId="0" borderId="28" xfId="0" applyFont="1" applyBorder="1" applyAlignment="1">
      <alignment horizontal="center" vertical="center" wrapText="1"/>
    </xf>
    <xf numFmtId="0" fontId="4" fillId="6" borderId="33" xfId="0" applyFont="1" applyFill="1" applyBorder="1" applyAlignment="1">
      <alignment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left" vertical="center" wrapText="1"/>
    </xf>
    <xf numFmtId="14" fontId="9" fillId="5" borderId="20" xfId="0" applyNumberFormat="1" applyFont="1" applyFill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14" fillId="0" borderId="0" xfId="0" applyFont="1" applyAlignment="1">
      <alignment wrapText="1"/>
    </xf>
    <xf numFmtId="0" fontId="14" fillId="0" borderId="64" xfId="0" applyFont="1" applyBorder="1" applyAlignment="1">
      <alignment vertical="top" wrapText="1"/>
    </xf>
    <xf numFmtId="0" fontId="9" fillId="8" borderId="70" xfId="0" applyFont="1" applyFill="1" applyBorder="1" applyAlignment="1">
      <alignment horizontal="left" vertical="center" wrapText="1"/>
    </xf>
    <xf numFmtId="0" fontId="9" fillId="8" borderId="70" xfId="0" applyFont="1" applyFill="1" applyBorder="1" applyAlignment="1">
      <alignment horizontal="center" vertical="center" wrapText="1"/>
    </xf>
    <xf numFmtId="0" fontId="14" fillId="0" borderId="33" xfId="0" applyFont="1" applyBorder="1" applyAlignment="1">
      <alignment vertical="top" wrapText="1"/>
    </xf>
    <xf numFmtId="0" fontId="9" fillId="7" borderId="32" xfId="0" applyFont="1" applyFill="1" applyBorder="1" applyAlignment="1">
      <alignment horizontal="center" vertical="center" wrapText="1"/>
    </xf>
    <xf numFmtId="0" fontId="9" fillId="7" borderId="32" xfId="0" applyFont="1" applyFill="1" applyBorder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14" fillId="0" borderId="0" xfId="0" applyFont="1" applyAlignment="1">
      <alignment vertical="top" wrapText="1"/>
    </xf>
    <xf numFmtId="0" fontId="17" fillId="0" borderId="21" xfId="0" applyFont="1" applyBorder="1" applyAlignment="1">
      <alignment horizontal="left"/>
    </xf>
    <xf numFmtId="0" fontId="17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left"/>
    </xf>
    <xf numFmtId="0" fontId="17" fillId="11" borderId="12" xfId="0" applyFont="1" applyFill="1" applyBorder="1" applyAlignment="1">
      <alignment horizontal="left"/>
    </xf>
    <xf numFmtId="0" fontId="17" fillId="6" borderId="12" xfId="0" applyFont="1" applyFill="1" applyBorder="1" applyAlignment="1">
      <alignment horizontal="left"/>
    </xf>
    <xf numFmtId="0" fontId="17" fillId="11" borderId="21" xfId="0" applyFont="1" applyFill="1" applyBorder="1" applyAlignment="1">
      <alignment horizontal="left"/>
    </xf>
    <xf numFmtId="0" fontId="20" fillId="9" borderId="20" xfId="0" applyFont="1" applyFill="1" applyBorder="1" applyAlignment="1">
      <alignment horizontal="left"/>
    </xf>
    <xf numFmtId="0" fontId="17" fillId="3" borderId="12" xfId="0" applyFont="1" applyFill="1" applyBorder="1" applyAlignment="1">
      <alignment horizontal="left"/>
    </xf>
    <xf numFmtId="0" fontId="17" fillId="9" borderId="12" xfId="0" applyFont="1" applyFill="1" applyBorder="1" applyAlignment="1">
      <alignment horizontal="left"/>
    </xf>
    <xf numFmtId="0" fontId="17" fillId="7" borderId="21" xfId="0" applyFont="1" applyFill="1" applyBorder="1" applyAlignment="1">
      <alignment horizontal="left"/>
    </xf>
    <xf numFmtId="0" fontId="0" fillId="0" borderId="20" xfId="0" applyBorder="1"/>
    <xf numFmtId="0" fontId="17" fillId="0" borderId="26" xfId="0" applyFont="1" applyBorder="1" applyAlignment="1">
      <alignment horizontal="center" vertical="center"/>
    </xf>
    <xf numFmtId="0" fontId="19" fillId="11" borderId="22" xfId="0" applyFont="1" applyFill="1" applyBorder="1" applyAlignment="1">
      <alignment horizontal="center" vertical="center" wrapText="1"/>
    </xf>
    <xf numFmtId="0" fontId="21" fillId="12" borderId="12" xfId="0" applyFont="1" applyFill="1" applyBorder="1" applyAlignment="1">
      <alignment horizontal="left"/>
    </xf>
    <xf numFmtId="0" fontId="17" fillId="12" borderId="12" xfId="0" applyFont="1" applyFill="1" applyBorder="1" applyAlignment="1">
      <alignment horizontal="left"/>
    </xf>
    <xf numFmtId="0" fontId="22" fillId="0" borderId="20" xfId="0" applyFont="1" applyBorder="1" applyAlignment="1">
      <alignment wrapText="1"/>
    </xf>
    <xf numFmtId="0" fontId="19" fillId="11" borderId="12" xfId="0" applyFont="1" applyFill="1" applyBorder="1" applyAlignment="1">
      <alignment horizontal="center" vertical="center" wrapText="1"/>
    </xf>
    <xf numFmtId="0" fontId="21" fillId="13" borderId="12" xfId="0" applyFont="1" applyFill="1" applyBorder="1" applyAlignment="1">
      <alignment horizontal="left"/>
    </xf>
    <xf numFmtId="0" fontId="19" fillId="0" borderId="12" xfId="0" applyFont="1" applyBorder="1" applyAlignment="1">
      <alignment horizontal="center" vertical="center" wrapText="1"/>
    </xf>
    <xf numFmtId="0" fontId="17" fillId="14" borderId="12" xfId="0" applyFont="1" applyFill="1" applyBorder="1" applyAlignment="1">
      <alignment horizontal="left"/>
    </xf>
    <xf numFmtId="0" fontId="17" fillId="11" borderId="22" xfId="0" applyFont="1" applyFill="1" applyBorder="1" applyAlignment="1">
      <alignment horizontal="left"/>
    </xf>
    <xf numFmtId="0" fontId="17" fillId="3" borderId="20" xfId="0" applyFont="1" applyFill="1" applyBorder="1" applyAlignment="1">
      <alignment horizontal="left"/>
    </xf>
    <xf numFmtId="0" fontId="19" fillId="0" borderId="6" xfId="0" applyFont="1" applyBorder="1" applyAlignment="1">
      <alignment horizontal="center" vertical="center"/>
    </xf>
    <xf numFmtId="0" fontId="17" fillId="15" borderId="12" xfId="0" applyFont="1" applyFill="1" applyBorder="1" applyAlignment="1">
      <alignment horizontal="left"/>
    </xf>
    <xf numFmtId="0" fontId="17" fillId="0" borderId="13" xfId="0" applyFont="1" applyBorder="1" applyAlignment="1">
      <alignment horizontal="center" vertical="center"/>
    </xf>
    <xf numFmtId="0" fontId="17" fillId="6" borderId="7" xfId="0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17" fillId="15" borderId="13" xfId="0" applyFont="1" applyFill="1" applyBorder="1" applyAlignment="1">
      <alignment horizontal="left"/>
    </xf>
    <xf numFmtId="0" fontId="17" fillId="14" borderId="7" xfId="0" applyFont="1" applyFill="1" applyBorder="1" applyAlignment="1">
      <alignment horizontal="left"/>
    </xf>
    <xf numFmtId="0" fontId="17" fillId="16" borderId="1" xfId="0" applyFont="1" applyFill="1" applyBorder="1" applyAlignment="1">
      <alignment horizontal="left"/>
    </xf>
    <xf numFmtId="0" fontId="0" fillId="9" borderId="20" xfId="0" applyFill="1" applyBorder="1"/>
    <xf numFmtId="0" fontId="0" fillId="0" borderId="0" xfId="0"/>
    <xf numFmtId="0" fontId="0" fillId="10" borderId="20" xfId="0" applyFill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5" xfId="0" applyBorder="1"/>
    <xf numFmtId="0" fontId="0" fillId="0" borderId="4" xfId="0" applyBorder="1" applyAlignment="1">
      <alignment horizontal="center"/>
    </xf>
    <xf numFmtId="0" fontId="0" fillId="0" borderId="75" xfId="0" applyBorder="1"/>
    <xf numFmtId="0" fontId="15" fillId="6" borderId="7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6" borderId="15" xfId="0" applyFont="1" applyFill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11" borderId="21" xfId="0" applyFont="1" applyFill="1" applyBorder="1" applyAlignment="1">
      <alignment horizontal="center" vertical="center" wrapText="1"/>
    </xf>
    <xf numFmtId="0" fontId="9" fillId="11" borderId="14" xfId="0" applyFont="1" applyFill="1" applyBorder="1" applyAlignment="1">
      <alignment horizontal="left" vertical="center" wrapText="1"/>
    </xf>
    <xf numFmtId="0" fontId="9" fillId="11" borderId="20" xfId="0" applyFont="1" applyFill="1" applyBorder="1" applyAlignment="1">
      <alignment horizontal="center" vertical="center" wrapText="1"/>
    </xf>
    <xf numFmtId="164" fontId="9" fillId="0" borderId="20" xfId="1" applyNumberFormat="1" applyFont="1" applyFill="1" applyBorder="1" applyAlignment="1">
      <alignment horizontal="center" vertical="center" wrapText="1"/>
    </xf>
    <xf numFmtId="164" fontId="9" fillId="3" borderId="20" xfId="1" applyNumberFormat="1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9" fillId="11" borderId="13" xfId="0" applyFont="1" applyFill="1" applyBorder="1" applyAlignment="1">
      <alignment horizontal="left" vertical="center" wrapText="1"/>
    </xf>
    <xf numFmtId="0" fontId="14" fillId="0" borderId="20" xfId="0" applyFont="1" applyBorder="1"/>
    <xf numFmtId="164" fontId="8" fillId="0" borderId="20" xfId="1" applyNumberFormat="1" applyFont="1" applyFill="1" applyBorder="1" applyAlignment="1">
      <alignment horizontal="center" vertical="center" wrapText="1"/>
    </xf>
    <xf numFmtId="0" fontId="9" fillId="11" borderId="20" xfId="0" applyFont="1" applyFill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/>
    </xf>
    <xf numFmtId="164" fontId="14" fillId="0" borderId="20" xfId="1" applyNumberFormat="1" applyFont="1" applyFill="1" applyBorder="1"/>
    <xf numFmtId="0" fontId="14" fillId="0" borderId="20" xfId="0" applyFont="1" applyBorder="1" applyAlignment="1">
      <alignment wrapText="1"/>
    </xf>
    <xf numFmtId="0" fontId="9" fillId="11" borderId="0" xfId="0" applyFont="1" applyFill="1" applyAlignment="1">
      <alignment horizontal="center" vertical="center" wrapText="1"/>
    </xf>
    <xf numFmtId="0" fontId="14" fillId="6" borderId="20" xfId="0" applyFont="1" applyFill="1" applyBorder="1" applyAlignment="1">
      <alignment horizontal="center"/>
    </xf>
    <xf numFmtId="0" fontId="14" fillId="0" borderId="0" xfId="0" applyFont="1"/>
    <xf numFmtId="164" fontId="14" fillId="0" borderId="0" xfId="1" applyNumberFormat="1" applyFont="1" applyFill="1"/>
    <xf numFmtId="0" fontId="14" fillId="0" borderId="0" xfId="0" applyFont="1" applyAlignment="1">
      <alignment horizontal="center"/>
    </xf>
    <xf numFmtId="0" fontId="9" fillId="0" borderId="20" xfId="0" applyFont="1" applyBorder="1" applyAlignment="1">
      <alignment horizontal="left" wrapText="1"/>
    </xf>
    <xf numFmtId="164" fontId="9" fillId="0" borderId="20" xfId="1" applyNumberFormat="1" applyFont="1" applyFill="1" applyBorder="1" applyAlignment="1">
      <alignment horizontal="right"/>
    </xf>
    <xf numFmtId="0" fontId="9" fillId="0" borderId="20" xfId="0" applyFont="1" applyBorder="1" applyAlignment="1">
      <alignment horizontal="left"/>
    </xf>
    <xf numFmtId="164" fontId="14" fillId="0" borderId="0" xfId="0" applyNumberFormat="1" applyFont="1"/>
    <xf numFmtId="0" fontId="8" fillId="0" borderId="61" xfId="0" applyFont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 wrapText="1"/>
    </xf>
    <xf numFmtId="0" fontId="2" fillId="0" borderId="77" xfId="0" applyFont="1" applyBorder="1" applyAlignment="1">
      <alignment vertical="center" wrapText="1"/>
    </xf>
    <xf numFmtId="0" fontId="2" fillId="5" borderId="65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/>
    </xf>
    <xf numFmtId="0" fontId="0" fillId="4" borderId="63" xfId="0" applyFill="1" applyBorder="1"/>
    <xf numFmtId="0" fontId="2" fillId="0" borderId="80" xfId="0" applyFont="1" applyBorder="1" applyAlignment="1">
      <alignment horizontal="center" vertical="center" wrapText="1"/>
    </xf>
    <xf numFmtId="0" fontId="0" fillId="3" borderId="82" xfId="0" applyFill="1" applyBorder="1"/>
    <xf numFmtId="0" fontId="9" fillId="7" borderId="42" xfId="0" applyFont="1" applyFill="1" applyBorder="1" applyAlignment="1">
      <alignment horizontal="center" vertical="center" wrapText="1"/>
    </xf>
    <xf numFmtId="0" fontId="11" fillId="7" borderId="83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 vertical="center" wrapText="1"/>
    </xf>
    <xf numFmtId="0" fontId="9" fillId="7" borderId="51" xfId="0" applyFont="1" applyFill="1" applyBorder="1" applyAlignment="1">
      <alignment horizontal="center" vertical="center" wrapText="1"/>
    </xf>
    <xf numFmtId="0" fontId="9" fillId="7" borderId="44" xfId="0" applyFont="1" applyFill="1" applyBorder="1" applyAlignment="1">
      <alignment horizontal="left" vertical="center" wrapText="1"/>
    </xf>
    <xf numFmtId="0" fontId="9" fillId="7" borderId="44" xfId="0" applyFont="1" applyFill="1" applyBorder="1" applyAlignment="1">
      <alignment horizontal="center" vertical="center" wrapText="1"/>
    </xf>
    <xf numFmtId="0" fontId="10" fillId="0" borderId="65" xfId="0" applyFont="1" applyBorder="1" applyAlignment="1">
      <alignment wrapText="1"/>
    </xf>
    <xf numFmtId="0" fontId="11" fillId="7" borderId="84" xfId="0" applyFont="1" applyFill="1" applyBorder="1" applyAlignment="1">
      <alignment horizontal="center" vertical="center"/>
    </xf>
    <xf numFmtId="0" fontId="8" fillId="3" borderId="85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65" xfId="0" applyFont="1" applyFill="1" applyBorder="1" applyAlignment="1">
      <alignment horizontal="left" vertical="center" wrapText="1"/>
    </xf>
    <xf numFmtId="0" fontId="9" fillId="3" borderId="65" xfId="0" applyFont="1" applyFill="1" applyBorder="1" applyAlignment="1">
      <alignment horizontal="center" vertical="center" wrapText="1"/>
    </xf>
    <xf numFmtId="14" fontId="12" fillId="3" borderId="42" xfId="0" applyNumberFormat="1" applyFont="1" applyFill="1" applyBorder="1" applyAlignment="1">
      <alignment horizontal="center" vertical="center" wrapText="1"/>
    </xf>
    <xf numFmtId="0" fontId="11" fillId="3" borderId="84" xfId="0" applyFont="1" applyFill="1" applyBorder="1" applyAlignment="1">
      <alignment horizontal="center" vertical="center"/>
    </xf>
    <xf numFmtId="0" fontId="8" fillId="7" borderId="81" xfId="0" applyFont="1" applyFill="1" applyBorder="1" applyAlignment="1">
      <alignment horizontal="center" vertical="center" wrapText="1"/>
    </xf>
    <xf numFmtId="0" fontId="10" fillId="0" borderId="44" xfId="0" applyFont="1" applyBorder="1" applyAlignment="1">
      <alignment wrapText="1"/>
    </xf>
    <xf numFmtId="0" fontId="0" fillId="3" borderId="80" xfId="0" applyFill="1" applyBorder="1"/>
    <xf numFmtId="0" fontId="9" fillId="3" borderId="51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left" vertical="center" wrapText="1"/>
    </xf>
    <xf numFmtId="0" fontId="12" fillId="3" borderId="44" xfId="0" applyFont="1" applyFill="1" applyBorder="1" applyAlignment="1">
      <alignment horizontal="center" vertical="center" wrapText="1"/>
    </xf>
    <xf numFmtId="14" fontId="9" fillId="3" borderId="44" xfId="0" applyNumberFormat="1" applyFont="1" applyFill="1" applyBorder="1" applyAlignment="1">
      <alignment horizontal="center" vertical="center" wrapText="1"/>
    </xf>
    <xf numFmtId="0" fontId="14" fillId="0" borderId="65" xfId="0" applyFont="1" applyBorder="1" applyAlignment="1">
      <alignment vertical="top" wrapText="1"/>
    </xf>
    <xf numFmtId="0" fontId="9" fillId="8" borderId="44" xfId="0" applyFont="1" applyFill="1" applyBorder="1" applyAlignment="1">
      <alignment horizontal="left" vertical="center" wrapText="1"/>
    </xf>
    <xf numFmtId="0" fontId="9" fillId="5" borderId="51" xfId="0" applyFont="1" applyFill="1" applyBorder="1" applyAlignment="1">
      <alignment horizontal="center" vertical="center" wrapText="1"/>
    </xf>
    <xf numFmtId="0" fontId="9" fillId="5" borderId="44" xfId="0" applyFont="1" applyFill="1" applyBorder="1" applyAlignment="1">
      <alignment horizontal="left" vertical="center" wrapText="1"/>
    </xf>
    <xf numFmtId="0" fontId="12" fillId="5" borderId="44" xfId="0" applyFont="1" applyFill="1" applyBorder="1" applyAlignment="1">
      <alignment horizontal="center" vertical="center" wrapText="1"/>
    </xf>
    <xf numFmtId="0" fontId="9" fillId="5" borderId="44" xfId="0" applyFont="1" applyFill="1" applyBorder="1" applyAlignment="1">
      <alignment horizontal="center" vertical="center" wrapText="1"/>
    </xf>
    <xf numFmtId="14" fontId="9" fillId="5" borderId="44" xfId="0" applyNumberFormat="1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left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vertical="top" wrapText="1"/>
    </xf>
    <xf numFmtId="0" fontId="12" fillId="8" borderId="51" xfId="0" applyFont="1" applyFill="1" applyBorder="1" applyAlignment="1">
      <alignment horizontal="center" vertical="center" wrapText="1"/>
    </xf>
    <xf numFmtId="14" fontId="9" fillId="8" borderId="44" xfId="0" applyNumberFormat="1" applyFont="1" applyFill="1" applyBorder="1" applyAlignment="1">
      <alignment horizontal="center" vertical="center" wrapText="1"/>
    </xf>
    <xf numFmtId="0" fontId="14" fillId="0" borderId="65" xfId="0" applyFont="1" applyBorder="1" applyAlignment="1">
      <alignment wrapText="1"/>
    </xf>
    <xf numFmtId="0" fontId="12" fillId="8" borderId="0" xfId="0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wrapText="1"/>
    </xf>
    <xf numFmtId="0" fontId="9" fillId="3" borderId="62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3" borderId="67" xfId="0" applyFont="1" applyFill="1" applyBorder="1" applyAlignment="1">
      <alignment horizontal="center" vertical="center" wrapText="1"/>
    </xf>
    <xf numFmtId="0" fontId="12" fillId="7" borderId="51" xfId="0" applyFont="1" applyFill="1" applyBorder="1" applyAlignment="1">
      <alignment horizontal="center" vertical="center" wrapText="1"/>
    </xf>
    <xf numFmtId="0" fontId="14" fillId="7" borderId="44" xfId="0" applyFont="1" applyFill="1" applyBorder="1" applyAlignment="1">
      <alignment wrapText="1"/>
    </xf>
    <xf numFmtId="0" fontId="12" fillId="5" borderId="51" xfId="0" applyFont="1" applyFill="1" applyBorder="1" applyAlignment="1">
      <alignment horizontal="center" vertical="center" wrapText="1"/>
    </xf>
    <xf numFmtId="0" fontId="12" fillId="3" borderId="63" xfId="0" applyFont="1" applyFill="1" applyBorder="1" applyAlignment="1">
      <alignment horizontal="center" vertical="center" wrapText="1"/>
    </xf>
    <xf numFmtId="0" fontId="12" fillId="7" borderId="63" xfId="0" applyFont="1" applyFill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wrapText="1"/>
    </xf>
    <xf numFmtId="0" fontId="0" fillId="7" borderId="0" xfId="0" applyFill="1" applyBorder="1"/>
    <xf numFmtId="0" fontId="9" fillId="5" borderId="63" xfId="0" applyFont="1" applyFill="1" applyBorder="1" applyAlignment="1">
      <alignment horizontal="left" vertical="center" wrapText="1"/>
    </xf>
    <xf numFmtId="0" fontId="9" fillId="5" borderId="44" xfId="0" applyFont="1" applyFill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9" fillId="5" borderId="50" xfId="0" applyFont="1" applyFill="1" applyBorder="1" applyAlignment="1">
      <alignment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5" borderId="62" xfId="0" applyFont="1" applyFill="1" applyBorder="1" applyAlignment="1">
      <alignment horizontal="left" vertical="center" wrapText="1"/>
    </xf>
    <xf numFmtId="0" fontId="9" fillId="7" borderId="62" xfId="0" applyFont="1" applyFill="1" applyBorder="1" applyAlignment="1">
      <alignment horizontal="left" vertical="center" wrapText="1"/>
    </xf>
    <xf numFmtId="0" fontId="0" fillId="7" borderId="46" xfId="0" applyFill="1" applyBorder="1"/>
    <xf numFmtId="0" fontId="9" fillId="3" borderId="62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8" borderId="63" xfId="0" applyFont="1" applyFill="1" applyBorder="1" applyAlignment="1">
      <alignment horizontal="left" vertical="center" wrapText="1"/>
    </xf>
    <xf numFmtId="0" fontId="9" fillId="8" borderId="62" xfId="0" applyFont="1" applyFill="1" applyBorder="1" applyAlignment="1">
      <alignment horizontal="left" vertical="center" wrapText="1"/>
    </xf>
    <xf numFmtId="0" fontId="9" fillId="8" borderId="42" xfId="0" applyFont="1" applyFill="1" applyBorder="1" applyAlignment="1">
      <alignment vertical="center" wrapText="1"/>
    </xf>
    <xf numFmtId="0" fontId="9" fillId="8" borderId="10" xfId="0" applyFont="1" applyFill="1" applyBorder="1" applyAlignment="1">
      <alignment vertical="center" wrapText="1"/>
    </xf>
    <xf numFmtId="0" fontId="14" fillId="0" borderId="42" xfId="0" applyFont="1" applyBorder="1" applyAlignment="1">
      <alignment wrapText="1"/>
    </xf>
    <xf numFmtId="0" fontId="8" fillId="0" borderId="86" xfId="0" applyFont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46" xfId="0" applyFont="1" applyFill="1" applyBorder="1" applyAlignment="1">
      <alignment horizontal="left" vertical="center" wrapText="1"/>
    </xf>
    <xf numFmtId="0" fontId="9" fillId="5" borderId="65" xfId="0" applyFont="1" applyFill="1" applyBorder="1" applyAlignment="1">
      <alignment horizontal="center" vertical="center" wrapText="1"/>
    </xf>
    <xf numFmtId="14" fontId="9" fillId="5" borderId="65" xfId="0" applyNumberFormat="1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86" xfId="0" applyFont="1" applyFill="1" applyBorder="1" applyAlignment="1">
      <alignment horizontal="center" vertical="center" wrapText="1"/>
    </xf>
    <xf numFmtId="0" fontId="8" fillId="5" borderId="81" xfId="0" applyFont="1" applyFill="1" applyBorder="1" applyAlignment="1">
      <alignment horizontal="center" vertical="center" wrapText="1"/>
    </xf>
    <xf numFmtId="14" fontId="9" fillId="5" borderId="65" xfId="0" applyNumberFormat="1" applyFont="1" applyFill="1" applyBorder="1" applyAlignment="1">
      <alignment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left" vertical="center" wrapText="1"/>
    </xf>
    <xf numFmtId="0" fontId="9" fillId="5" borderId="42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14" fontId="9" fillId="5" borderId="42" xfId="0" applyNumberFormat="1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9" fillId="8" borderId="48" xfId="0" applyFont="1" applyFill="1" applyBorder="1" applyAlignment="1">
      <alignment vertical="center" wrapText="1"/>
    </xf>
    <xf numFmtId="0" fontId="14" fillId="0" borderId="51" xfId="0" applyFont="1" applyBorder="1" applyAlignment="1">
      <alignment vertical="top" wrapText="1"/>
    </xf>
    <xf numFmtId="0" fontId="9" fillId="8" borderId="49" xfId="0" applyFont="1" applyFill="1" applyBorder="1" applyAlignment="1">
      <alignment vertical="center" wrapText="1"/>
    </xf>
    <xf numFmtId="0" fontId="9" fillId="8" borderId="50" xfId="0" applyFont="1" applyFill="1" applyBorder="1" applyAlignment="1">
      <alignment vertical="center" wrapText="1"/>
    </xf>
    <xf numFmtId="0" fontId="9" fillId="5" borderId="63" xfId="0" applyFont="1" applyFill="1" applyBorder="1" applyAlignment="1">
      <alignment horizontal="center" vertical="center" wrapText="1"/>
    </xf>
    <xf numFmtId="0" fontId="0" fillId="3" borderId="87" xfId="0" applyFill="1" applyBorder="1"/>
    <xf numFmtId="0" fontId="0" fillId="7" borderId="65" xfId="0" applyFill="1" applyBorder="1"/>
    <xf numFmtId="0" fontId="9" fillId="7" borderId="65" xfId="0" applyFont="1" applyFill="1" applyBorder="1" applyAlignment="1">
      <alignment horizontal="left" vertical="center" wrapText="1"/>
    </xf>
    <xf numFmtId="0" fontId="9" fillId="7" borderId="65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8" fillId="5" borderId="85" xfId="0" applyFont="1" applyFill="1" applyBorder="1" applyAlignment="1">
      <alignment horizontal="center" vertical="center" wrapText="1"/>
    </xf>
    <xf numFmtId="0" fontId="9" fillId="5" borderId="46" xfId="0" applyFont="1" applyFill="1" applyBorder="1" applyAlignment="1">
      <alignment horizontal="center" vertical="center" wrapText="1"/>
    </xf>
    <xf numFmtId="14" fontId="9" fillId="5" borderId="65" xfId="0" applyNumberFormat="1" applyFont="1" applyFill="1" applyBorder="1" applyAlignment="1">
      <alignment vertical="center"/>
    </xf>
    <xf numFmtId="0" fontId="8" fillId="6" borderId="27" xfId="0" applyFont="1" applyFill="1" applyBorder="1" applyAlignment="1">
      <alignment horizontal="center" vertical="center" wrapText="1"/>
    </xf>
    <xf numFmtId="0" fontId="9" fillId="5" borderId="45" xfId="0" applyFont="1" applyFill="1" applyBorder="1" applyAlignment="1">
      <alignment vertical="center" wrapText="1"/>
    </xf>
    <xf numFmtId="0" fontId="8" fillId="7" borderId="36" xfId="0" applyFont="1" applyFill="1" applyBorder="1" applyAlignment="1">
      <alignment horizontal="center" vertical="center" wrapText="1"/>
    </xf>
    <xf numFmtId="0" fontId="9" fillId="7" borderId="42" xfId="0" applyFont="1" applyFill="1" applyBorder="1" applyAlignment="1">
      <alignment horizontal="left" vertical="center" wrapText="1"/>
    </xf>
    <xf numFmtId="0" fontId="9" fillId="7" borderId="45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0" fillId="0" borderId="0" xfId="0" applyBorder="1"/>
    <xf numFmtId="0" fontId="9" fillId="5" borderId="62" xfId="0" applyFont="1" applyFill="1" applyBorder="1" applyAlignment="1">
      <alignment horizontal="center" vertical="center" wrapText="1"/>
    </xf>
    <xf numFmtId="14" fontId="9" fillId="3" borderId="65" xfId="0" applyNumberFormat="1" applyFont="1" applyFill="1" applyBorder="1" applyAlignment="1">
      <alignment horizontal="center" vertical="center" wrapText="1"/>
    </xf>
    <xf numFmtId="0" fontId="8" fillId="7" borderId="67" xfId="0" applyFont="1" applyFill="1" applyBorder="1" applyAlignment="1">
      <alignment horizontal="center" vertical="center" wrapText="1"/>
    </xf>
    <xf numFmtId="0" fontId="9" fillId="5" borderId="42" xfId="0" applyFont="1" applyFill="1" applyBorder="1" applyAlignment="1">
      <alignment horizontal="left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8" fillId="5" borderId="67" xfId="0" applyFont="1" applyFill="1" applyBorder="1" applyAlignment="1">
      <alignment horizontal="center" vertical="center" wrapText="1"/>
    </xf>
    <xf numFmtId="0" fontId="0" fillId="3" borderId="83" xfId="0" applyFill="1" applyBorder="1"/>
    <xf numFmtId="0" fontId="9" fillId="0" borderId="65" xfId="0" applyFont="1" applyBorder="1" applyAlignment="1">
      <alignment horizontal="center" vertical="center" wrapText="1"/>
    </xf>
    <xf numFmtId="0" fontId="8" fillId="3" borderId="67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14" fontId="9" fillId="3" borderId="46" xfId="0" applyNumberFormat="1" applyFont="1" applyFill="1" applyBorder="1" applyAlignment="1">
      <alignment horizontal="center" vertical="center" wrapText="1"/>
    </xf>
    <xf numFmtId="0" fontId="14" fillId="3" borderId="65" xfId="0" applyFont="1" applyFill="1" applyBorder="1" applyAlignment="1">
      <alignment vertical="center" wrapText="1"/>
    </xf>
    <xf numFmtId="0" fontId="14" fillId="0" borderId="44" xfId="0" applyFont="1" applyBorder="1" applyAlignment="1">
      <alignment vertical="center" wrapText="1"/>
    </xf>
    <xf numFmtId="0" fontId="8" fillId="7" borderId="44" xfId="0" applyFont="1" applyFill="1" applyBorder="1" applyAlignment="1">
      <alignment horizontal="center" vertical="center" wrapText="1"/>
    </xf>
    <xf numFmtId="0" fontId="8" fillId="7" borderId="63" xfId="0" applyFont="1" applyFill="1" applyBorder="1" applyAlignment="1">
      <alignment horizontal="left" vertical="center" wrapText="1"/>
    </xf>
    <xf numFmtId="0" fontId="8" fillId="7" borderId="51" xfId="0" applyFont="1" applyFill="1" applyBorder="1" applyAlignment="1">
      <alignment horizontal="left" vertical="center" wrapText="1"/>
    </xf>
    <xf numFmtId="0" fontId="14" fillId="7" borderId="0" xfId="0" applyFont="1" applyFill="1" applyBorder="1" applyAlignment="1">
      <alignment wrapText="1"/>
    </xf>
    <xf numFmtId="0" fontId="14" fillId="0" borderId="43" xfId="0" applyFont="1" applyBorder="1" applyAlignment="1">
      <alignment vertical="top" wrapText="1"/>
    </xf>
    <xf numFmtId="0" fontId="9" fillId="3" borderId="46" xfId="0" applyFont="1" applyFill="1" applyBorder="1" applyAlignment="1">
      <alignment horizontal="left" vertical="center" wrapText="1"/>
    </xf>
    <xf numFmtId="0" fontId="0" fillId="8" borderId="80" xfId="0" applyFill="1" applyBorder="1"/>
    <xf numFmtId="0" fontId="14" fillId="0" borderId="44" xfId="0" applyFont="1" applyBorder="1" applyAlignment="1">
      <alignment horizontal="center" vertical="center" wrapText="1"/>
    </xf>
    <xf numFmtId="0" fontId="9" fillId="5" borderId="45" xfId="0" applyFont="1" applyFill="1" applyBorder="1" applyAlignment="1">
      <alignment horizontal="center" vertical="center" wrapText="1"/>
    </xf>
    <xf numFmtId="0" fontId="14" fillId="0" borderId="51" xfId="0" applyFont="1" applyBorder="1" applyAlignment="1">
      <alignment wrapText="1"/>
    </xf>
    <xf numFmtId="0" fontId="9" fillId="8" borderId="65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wrapText="1"/>
    </xf>
    <xf numFmtId="0" fontId="9" fillId="8" borderId="43" xfId="0" applyFont="1" applyFill="1" applyBorder="1" applyAlignment="1">
      <alignment horizontal="left" vertical="center" wrapText="1"/>
    </xf>
    <xf numFmtId="0" fontId="8" fillId="3" borderId="92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14" fillId="0" borderId="65" xfId="0" applyFont="1" applyBorder="1" applyAlignment="1">
      <alignment horizontal="center" vertical="center" wrapText="1"/>
    </xf>
    <xf numFmtId="0" fontId="9" fillId="5" borderId="93" xfId="0" applyFont="1" applyFill="1" applyBorder="1" applyAlignment="1">
      <alignment horizontal="left" vertical="center" wrapText="1"/>
    </xf>
    <xf numFmtId="0" fontId="9" fillId="5" borderId="93" xfId="0" applyFont="1" applyFill="1" applyBorder="1" applyAlignment="1">
      <alignment horizontal="center" vertical="center" wrapText="1"/>
    </xf>
    <xf numFmtId="0" fontId="9" fillId="5" borderId="94" xfId="0" applyFont="1" applyFill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0" fillId="4" borderId="35" xfId="0" applyFill="1" applyBorder="1"/>
    <xf numFmtId="0" fontId="0" fillId="3" borderId="95" xfId="0" applyFill="1" applyBorder="1"/>
    <xf numFmtId="0" fontId="0" fillId="4" borderId="62" xfId="0" applyFill="1" applyBorder="1"/>
    <xf numFmtId="0" fontId="8" fillId="0" borderId="63" xfId="0" applyFont="1" applyBorder="1" applyAlignment="1">
      <alignment horizontal="left" vertical="center" wrapText="1"/>
    </xf>
    <xf numFmtId="0" fontId="0" fillId="4" borderId="32" xfId="0" applyFill="1" applyBorder="1"/>
    <xf numFmtId="0" fontId="0" fillId="6" borderId="96" xfId="0" applyFill="1" applyBorder="1"/>
    <xf numFmtId="0" fontId="8" fillId="0" borderId="97" xfId="0" applyFont="1" applyBorder="1" applyAlignment="1">
      <alignment horizontal="center" vertical="center" wrapText="1"/>
    </xf>
    <xf numFmtId="0" fontId="8" fillId="0" borderId="98" xfId="0" applyFont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2" fillId="5" borderId="88" xfId="0" applyFont="1" applyFill="1" applyBorder="1" applyAlignment="1">
      <alignment horizontal="center" vertical="center" wrapText="1"/>
    </xf>
    <xf numFmtId="0" fontId="2" fillId="5" borderId="62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 wrapText="1"/>
    </xf>
    <xf numFmtId="0" fontId="8" fillId="0" borderId="99" xfId="0" applyFont="1" applyBorder="1" applyAlignment="1">
      <alignment horizontal="center" vertical="center" wrapText="1"/>
    </xf>
    <xf numFmtId="0" fontId="10" fillId="7" borderId="44" xfId="0" applyFont="1" applyFill="1" applyBorder="1"/>
    <xf numFmtId="0" fontId="0" fillId="7" borderId="63" xfId="0" applyFill="1" applyBorder="1"/>
    <xf numFmtId="0" fontId="4" fillId="6" borderId="33" xfId="0" applyFont="1" applyFill="1" applyBorder="1" applyAlignment="1">
      <alignment horizontal="left" vertical="center" wrapText="1"/>
    </xf>
    <xf numFmtId="0" fontId="8" fillId="0" borderId="100" xfId="0" applyFont="1" applyBorder="1" applyAlignment="1">
      <alignment horizontal="center" vertical="center" wrapText="1"/>
    </xf>
    <xf numFmtId="0" fontId="13" fillId="0" borderId="88" xfId="0" applyFont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left" vertical="center" wrapText="1"/>
    </xf>
    <xf numFmtId="0" fontId="12" fillId="5" borderId="43" xfId="0" applyFont="1" applyFill="1" applyBorder="1" applyAlignment="1">
      <alignment horizontal="center" vertical="center" wrapText="1"/>
    </xf>
    <xf numFmtId="14" fontId="12" fillId="5" borderId="43" xfId="0" applyNumberFormat="1" applyFont="1" applyFill="1" applyBorder="1" applyAlignment="1">
      <alignment horizontal="center" vertical="center" wrapText="1"/>
    </xf>
    <xf numFmtId="0" fontId="10" fillId="0" borderId="43" xfId="0" applyFont="1" applyBorder="1" applyAlignment="1">
      <alignment vertical="top" wrapText="1"/>
    </xf>
    <xf numFmtId="0" fontId="11" fillId="7" borderId="91" xfId="0" applyFont="1" applyFill="1" applyBorder="1" applyAlignment="1">
      <alignment horizontal="center" vertical="center"/>
    </xf>
    <xf numFmtId="0" fontId="9" fillId="5" borderId="65" xfId="0" applyFont="1" applyFill="1" applyBorder="1" applyAlignment="1">
      <alignment horizontal="left" vertical="center" wrapText="1"/>
    </xf>
    <xf numFmtId="0" fontId="14" fillId="0" borderId="43" xfId="0" applyFont="1" applyBorder="1"/>
    <xf numFmtId="14" fontId="9" fillId="5" borderId="62" xfId="0" applyNumberFormat="1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5" borderId="88" xfId="0" applyFont="1" applyFill="1" applyBorder="1" applyAlignment="1">
      <alignment horizontal="center" vertical="center" wrapText="1"/>
    </xf>
    <xf numFmtId="0" fontId="9" fillId="7" borderId="50" xfId="0" applyFont="1" applyFill="1" applyBorder="1" applyAlignment="1">
      <alignment horizontal="left" vertical="center" wrapText="1"/>
    </xf>
    <xf numFmtId="0" fontId="9" fillId="7" borderId="48" xfId="0" applyFont="1" applyFill="1" applyBorder="1" applyAlignment="1">
      <alignment horizontal="center" vertical="center" wrapText="1"/>
    </xf>
    <xf numFmtId="0" fontId="14" fillId="7" borderId="101" xfId="0" applyFont="1" applyFill="1" applyBorder="1" applyAlignment="1">
      <alignment wrapText="1"/>
    </xf>
    <xf numFmtId="0" fontId="11" fillId="7" borderId="89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 wrapText="1"/>
    </xf>
    <xf numFmtId="0" fontId="14" fillId="0" borderId="65" xfId="0" applyFont="1" applyBorder="1" applyAlignment="1">
      <alignment vertical="center" wrapText="1"/>
    </xf>
    <xf numFmtId="0" fontId="8" fillId="5" borderId="61" xfId="0" applyFont="1" applyFill="1" applyBorder="1" applyAlignment="1">
      <alignment horizontal="center" vertical="center" wrapText="1"/>
    </xf>
    <xf numFmtId="0" fontId="9" fillId="7" borderId="56" xfId="0" applyFont="1" applyFill="1" applyBorder="1" applyAlignment="1">
      <alignment horizontal="center" vertical="center" wrapText="1"/>
    </xf>
    <xf numFmtId="0" fontId="9" fillId="5" borderId="50" xfId="0" applyFont="1" applyFill="1" applyBorder="1" applyAlignment="1">
      <alignment horizontal="center" vertical="center" wrapText="1"/>
    </xf>
    <xf numFmtId="0" fontId="14" fillId="5" borderId="23" xfId="0" applyFont="1" applyFill="1" applyBorder="1" applyAlignment="1">
      <alignment horizontal="center"/>
    </xf>
    <xf numFmtId="0" fontId="8" fillId="5" borderId="58" xfId="0" applyFont="1" applyFill="1" applyBorder="1" applyAlignment="1">
      <alignment horizontal="center" vertical="center" wrapText="1"/>
    </xf>
    <xf numFmtId="0" fontId="9" fillId="5" borderId="48" xfId="0" applyFont="1" applyFill="1" applyBorder="1" applyAlignment="1">
      <alignment horizontal="center" vertical="center" wrapText="1"/>
    </xf>
    <xf numFmtId="14" fontId="9" fillId="5" borderId="65" xfId="0" applyNumberFormat="1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7" borderId="49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14" fontId="9" fillId="5" borderId="42" xfId="0" applyNumberFormat="1" applyFont="1" applyFill="1" applyBorder="1" applyAlignment="1">
      <alignment horizontal="center" vertical="center" wrapText="1"/>
    </xf>
    <xf numFmtId="0" fontId="9" fillId="8" borderId="63" xfId="0" applyFont="1" applyFill="1" applyBorder="1" applyAlignment="1">
      <alignment horizontal="center" vertical="center" wrapText="1"/>
    </xf>
    <xf numFmtId="0" fontId="9" fillId="8" borderId="44" xfId="0" applyFont="1" applyFill="1" applyBorder="1" applyAlignment="1">
      <alignment horizontal="center" vertical="center" wrapText="1"/>
    </xf>
    <xf numFmtId="0" fontId="9" fillId="3" borderId="65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8" borderId="51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0" fillId="3" borderId="96" xfId="0" applyFill="1" applyBorder="1"/>
    <xf numFmtId="0" fontId="9" fillId="17" borderId="44" xfId="0" applyFont="1" applyFill="1" applyBorder="1" applyAlignment="1">
      <alignment horizontal="left" vertical="center" wrapText="1"/>
    </xf>
    <xf numFmtId="0" fontId="9" fillId="17" borderId="44" xfId="0" applyFont="1" applyFill="1" applyBorder="1" applyAlignment="1">
      <alignment horizontal="center" vertical="center" wrapText="1"/>
    </xf>
    <xf numFmtId="0" fontId="9" fillId="17" borderId="7" xfId="0" applyFont="1" applyFill="1" applyBorder="1" applyAlignment="1">
      <alignment horizontal="center" vertical="center" wrapText="1"/>
    </xf>
    <xf numFmtId="0" fontId="9" fillId="17" borderId="65" xfId="0" applyFont="1" applyFill="1" applyBorder="1" applyAlignment="1">
      <alignment vertical="center" wrapText="1"/>
    </xf>
    <xf numFmtId="0" fontId="9" fillId="17" borderId="15" xfId="0" applyFont="1" applyFill="1" applyBorder="1" applyAlignment="1">
      <alignment horizontal="center" vertical="center" wrapText="1"/>
    </xf>
    <xf numFmtId="0" fontId="9" fillId="17" borderId="20" xfId="0" applyFont="1" applyFill="1" applyBorder="1" applyAlignment="1">
      <alignment vertical="center" wrapText="1"/>
    </xf>
    <xf numFmtId="0" fontId="14" fillId="0" borderId="0" xfId="0" applyFont="1" applyBorder="1" applyAlignment="1">
      <alignment vertical="top" wrapText="1"/>
    </xf>
    <xf numFmtId="0" fontId="24" fillId="18" borderId="7" xfId="0" applyFont="1" applyFill="1" applyBorder="1" applyAlignment="1">
      <alignment horizontal="left" vertical="center" wrapText="1"/>
    </xf>
    <xf numFmtId="0" fontId="25" fillId="18" borderId="7" xfId="0" applyFont="1" applyFill="1" applyBorder="1" applyAlignment="1">
      <alignment horizontal="center" vertical="center" wrapText="1"/>
    </xf>
    <xf numFmtId="0" fontId="24" fillId="18" borderId="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vertical="top" wrapText="1"/>
    </xf>
    <xf numFmtId="0" fontId="14" fillId="0" borderId="51" xfId="0" applyFont="1" applyBorder="1" applyAlignment="1">
      <alignment vertical="center" wrapText="1"/>
    </xf>
    <xf numFmtId="0" fontId="4" fillId="6" borderId="42" xfId="0" applyFont="1" applyFill="1" applyBorder="1" applyAlignment="1">
      <alignment horizontal="left" vertical="center" wrapText="1"/>
    </xf>
    <xf numFmtId="0" fontId="4" fillId="6" borderId="31" xfId="0" applyFont="1" applyFill="1" applyBorder="1" applyAlignment="1">
      <alignment horizontal="left" vertical="center" wrapText="1"/>
    </xf>
    <xf numFmtId="0" fontId="4" fillId="6" borderId="31" xfId="0" applyFont="1" applyFill="1" applyBorder="1" applyAlignment="1">
      <alignment vertical="center" wrapText="1"/>
    </xf>
    <xf numFmtId="0" fontId="24" fillId="19" borderId="7" xfId="0" applyFont="1" applyFill="1" applyBorder="1" applyAlignment="1">
      <alignment horizontal="left" vertical="center" wrapText="1"/>
    </xf>
    <xf numFmtId="0" fontId="24" fillId="19" borderId="7" xfId="0" applyFont="1" applyFill="1" applyBorder="1" applyAlignment="1">
      <alignment horizontal="center" vertical="center" wrapText="1"/>
    </xf>
    <xf numFmtId="0" fontId="24" fillId="19" borderId="7" xfId="0" applyFont="1" applyFill="1" applyBorder="1" applyAlignment="1">
      <alignment vertical="center" wrapText="1"/>
    </xf>
    <xf numFmtId="0" fontId="4" fillId="6" borderId="45" xfId="0" applyFont="1" applyFill="1" applyBorder="1" applyAlignment="1">
      <alignment horizontal="left" vertical="center" wrapText="1"/>
    </xf>
    <xf numFmtId="14" fontId="24" fillId="19" borderId="7" xfId="0" applyNumberFormat="1" applyFont="1" applyFill="1" applyBorder="1" applyAlignment="1">
      <alignment vertical="center" wrapText="1"/>
    </xf>
    <xf numFmtId="0" fontId="24" fillId="19" borderId="62" xfId="0" applyFont="1" applyFill="1" applyBorder="1" applyAlignment="1">
      <alignment horizontal="left" vertical="center" wrapText="1"/>
    </xf>
    <xf numFmtId="0" fontId="24" fillId="19" borderId="62" xfId="0" applyFont="1" applyFill="1" applyBorder="1" applyAlignment="1">
      <alignment horizontal="center" vertical="center" wrapText="1"/>
    </xf>
    <xf numFmtId="0" fontId="24" fillId="19" borderId="62" xfId="0" applyFont="1" applyFill="1" applyBorder="1" applyAlignment="1">
      <alignment vertical="center" wrapText="1"/>
    </xf>
    <xf numFmtId="14" fontId="24" fillId="19" borderId="62" xfId="0" applyNumberFormat="1" applyFont="1" applyFill="1" applyBorder="1" applyAlignment="1">
      <alignment vertical="center" wrapText="1"/>
    </xf>
    <xf numFmtId="0" fontId="0" fillId="4" borderId="30" xfId="0" applyFill="1" applyBorder="1"/>
    <xf numFmtId="0" fontId="0" fillId="3" borderId="103" xfId="0" applyFill="1" applyBorder="1"/>
    <xf numFmtId="0" fontId="0" fillId="3" borderId="104" xfId="0" applyFill="1" applyBorder="1"/>
    <xf numFmtId="0" fontId="24" fillId="20" borderId="7" xfId="0" applyFont="1" applyFill="1" applyBorder="1" applyAlignment="1">
      <alignment horizontal="left" vertical="center" wrapText="1"/>
    </xf>
    <xf numFmtId="0" fontId="24" fillId="20" borderId="7" xfId="0" applyFont="1" applyFill="1" applyBorder="1" applyAlignment="1">
      <alignment horizontal="center" vertical="center" wrapText="1"/>
    </xf>
    <xf numFmtId="0" fontId="24" fillId="20" borderId="7" xfId="0" applyFont="1" applyFill="1" applyBorder="1" applyAlignment="1">
      <alignment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76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0" fontId="6" fillId="6" borderId="58" xfId="0" applyFont="1" applyFill="1" applyBorder="1" applyAlignment="1">
      <alignment horizontal="left" vertical="center" wrapText="1"/>
    </xf>
    <xf numFmtId="0" fontId="6" fillId="6" borderId="33" xfId="0" applyFont="1" applyFill="1" applyBorder="1" applyAlignment="1">
      <alignment horizontal="left" vertical="center" wrapText="1"/>
    </xf>
    <xf numFmtId="0" fontId="6" fillId="6" borderId="31" xfId="0" applyFont="1" applyFill="1" applyBorder="1" applyAlignment="1">
      <alignment horizontal="left" vertical="center" wrapText="1"/>
    </xf>
    <xf numFmtId="0" fontId="8" fillId="5" borderId="85" xfId="0" applyFont="1" applyFill="1" applyBorder="1" applyAlignment="1">
      <alignment horizontal="center" vertical="center" wrapText="1"/>
    </xf>
    <xf numFmtId="0" fontId="8" fillId="9" borderId="85" xfId="0" applyFont="1" applyFill="1" applyBorder="1" applyAlignment="1">
      <alignment horizontal="center" vertical="center" wrapText="1"/>
    </xf>
    <xf numFmtId="0" fontId="8" fillId="5" borderId="86" xfId="0" applyFont="1" applyFill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8" fillId="3" borderId="85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14" fontId="26" fillId="5" borderId="65" xfId="0" applyNumberFormat="1" applyFont="1" applyFill="1" applyBorder="1" applyAlignment="1">
      <alignment horizontal="center" vertical="center" wrapText="1"/>
    </xf>
    <xf numFmtId="14" fontId="9" fillId="5" borderId="65" xfId="0" applyNumberFormat="1" applyFont="1" applyFill="1" applyBorder="1" applyAlignment="1">
      <alignment horizontal="center" vertical="center" wrapText="1"/>
    </xf>
    <xf numFmtId="14" fontId="9" fillId="5" borderId="44" xfId="0" applyNumberFormat="1" applyFont="1" applyFill="1" applyBorder="1" applyAlignment="1">
      <alignment horizontal="center" vertical="center" wrapText="1"/>
    </xf>
    <xf numFmtId="0" fontId="9" fillId="5" borderId="62" xfId="0" applyFont="1" applyFill="1" applyBorder="1" applyAlignment="1">
      <alignment horizontal="center" vertical="center" wrapText="1"/>
    </xf>
    <xf numFmtId="0" fontId="9" fillId="5" borderId="46" xfId="0" applyFont="1" applyFill="1" applyBorder="1" applyAlignment="1">
      <alignment horizontal="center" vertical="center" wrapText="1"/>
    </xf>
    <xf numFmtId="0" fontId="9" fillId="5" borderId="63" xfId="0" applyFont="1" applyFill="1" applyBorder="1" applyAlignment="1">
      <alignment horizontal="center" vertical="center" wrapText="1"/>
    </xf>
    <xf numFmtId="0" fontId="9" fillId="5" borderId="65" xfId="0" applyFont="1" applyFill="1" applyBorder="1" applyAlignment="1">
      <alignment horizontal="center" vertical="center" wrapText="1"/>
    </xf>
    <xf numFmtId="0" fontId="9" fillId="5" borderId="44" xfId="0" applyFont="1" applyFill="1" applyBorder="1" applyAlignment="1">
      <alignment horizontal="center" vertical="center" wrapText="1"/>
    </xf>
    <xf numFmtId="0" fontId="9" fillId="8" borderId="45" xfId="0" applyFont="1" applyFill="1" applyBorder="1" applyAlignment="1">
      <alignment horizontal="center" vertical="center" wrapText="1"/>
    </xf>
    <xf numFmtId="0" fontId="9" fillId="8" borderId="46" xfId="0" applyFont="1" applyFill="1" applyBorder="1" applyAlignment="1">
      <alignment horizontal="center" vertical="center" wrapText="1"/>
    </xf>
    <xf numFmtId="0" fontId="9" fillId="8" borderId="63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9" fillId="5" borderId="45" xfId="0" applyFont="1" applyFill="1" applyBorder="1" applyAlignment="1">
      <alignment horizontal="center" vertical="center" wrapText="1"/>
    </xf>
    <xf numFmtId="14" fontId="9" fillId="5" borderId="42" xfId="0" applyNumberFormat="1" applyFont="1" applyFill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9" fillId="8" borderId="42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5" borderId="28" xfId="0" applyFont="1" applyFill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85" xfId="0" applyFont="1" applyBorder="1" applyAlignment="1">
      <alignment horizontal="center" vertical="center" wrapText="1"/>
    </xf>
    <xf numFmtId="0" fontId="12" fillId="5" borderId="62" xfId="0" applyFont="1" applyFill="1" applyBorder="1" applyAlignment="1">
      <alignment horizontal="center" vertical="center" wrapText="1"/>
    </xf>
    <xf numFmtId="0" fontId="12" fillId="5" borderId="63" xfId="0" applyFont="1" applyFill="1" applyBorder="1" applyAlignment="1">
      <alignment horizontal="center" vertical="center" wrapText="1"/>
    </xf>
    <xf numFmtId="14" fontId="9" fillId="5" borderId="29" xfId="0" applyNumberFormat="1" applyFont="1" applyFill="1" applyBorder="1" applyAlignment="1">
      <alignment horizontal="center" vertical="center" wrapText="1"/>
    </xf>
    <xf numFmtId="0" fontId="9" fillId="8" borderId="62" xfId="0" applyFont="1" applyFill="1" applyBorder="1" applyAlignment="1">
      <alignment horizontal="center" vertical="center" wrapText="1"/>
    </xf>
    <xf numFmtId="0" fontId="9" fillId="8" borderId="44" xfId="0" applyFont="1" applyFill="1" applyBorder="1" applyAlignment="1">
      <alignment horizontal="center" vertical="center" wrapText="1"/>
    </xf>
    <xf numFmtId="0" fontId="9" fillId="8" borderId="43" xfId="0" applyFont="1" applyFill="1" applyBorder="1" applyAlignment="1">
      <alignment horizontal="center" vertical="center" wrapText="1"/>
    </xf>
    <xf numFmtId="0" fontId="6" fillId="6" borderId="102" xfId="0" applyFont="1" applyFill="1" applyBorder="1" applyAlignment="1">
      <alignment horizontal="left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3" borderId="65" xfId="0" applyFont="1" applyFill="1" applyBorder="1" applyAlignment="1">
      <alignment horizontal="center" vertical="center" wrapText="1"/>
    </xf>
    <xf numFmtId="0" fontId="8" fillId="0" borderId="86" xfId="0" applyFont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14" fontId="9" fillId="5" borderId="48" xfId="0" applyNumberFormat="1" applyFont="1" applyFill="1" applyBorder="1" applyAlignment="1">
      <alignment horizontal="center" vertical="center" wrapText="1"/>
    </xf>
    <xf numFmtId="14" fontId="9" fillId="5" borderId="49" xfId="0" applyNumberFormat="1" applyFont="1" applyFill="1" applyBorder="1" applyAlignment="1">
      <alignment horizontal="center" vertical="center" wrapText="1"/>
    </xf>
    <xf numFmtId="14" fontId="9" fillId="5" borderId="94" xfId="0" applyNumberFormat="1" applyFont="1" applyFill="1" applyBorder="1" applyAlignment="1">
      <alignment horizontal="center" vertical="center" wrapText="1"/>
    </xf>
    <xf numFmtId="0" fontId="9" fillId="8" borderId="48" xfId="0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horizontal="center" vertical="center" wrapText="1"/>
    </xf>
    <xf numFmtId="0" fontId="9" fillId="8" borderId="50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9" fillId="8" borderId="51" xfId="0" applyFont="1" applyFill="1" applyBorder="1" applyAlignment="1">
      <alignment horizontal="center" vertical="center" wrapText="1"/>
    </xf>
    <xf numFmtId="0" fontId="9" fillId="7" borderId="62" xfId="0" applyFont="1" applyFill="1" applyBorder="1" applyAlignment="1">
      <alignment horizontal="center" vertical="center" wrapText="1"/>
    </xf>
    <xf numFmtId="0" fontId="9" fillId="7" borderId="46" xfId="0" applyFont="1" applyFill="1" applyBorder="1" applyAlignment="1">
      <alignment horizontal="center" vertical="center" wrapText="1"/>
    </xf>
    <xf numFmtId="14" fontId="9" fillId="5" borderId="50" xfId="0" applyNumberFormat="1" applyFont="1" applyFill="1" applyBorder="1" applyAlignment="1">
      <alignment horizontal="center" vertical="center" wrapText="1"/>
    </xf>
    <xf numFmtId="0" fontId="6" fillId="6" borderId="67" xfId="0" applyFont="1" applyFill="1" applyBorder="1" applyAlignment="1">
      <alignment horizontal="left" vertical="center" wrapText="1"/>
    </xf>
    <xf numFmtId="0" fontId="6" fillId="6" borderId="32" xfId="0" applyFont="1" applyFill="1" applyBorder="1" applyAlignment="1">
      <alignment horizontal="left" vertical="center" wrapText="1"/>
    </xf>
    <xf numFmtId="0" fontId="8" fillId="9" borderId="86" xfId="0" applyFont="1" applyFill="1" applyBorder="1" applyAlignment="1">
      <alignment horizontal="center" vertical="center" wrapText="1"/>
    </xf>
    <xf numFmtId="0" fontId="8" fillId="5" borderId="88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/>
    </xf>
    <xf numFmtId="0" fontId="9" fillId="3" borderId="46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5" borderId="45" xfId="0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 wrapText="1"/>
    </xf>
    <xf numFmtId="0" fontId="6" fillId="6" borderId="59" xfId="0" applyFont="1" applyFill="1" applyBorder="1" applyAlignment="1">
      <alignment horizontal="left" vertical="center" wrapText="1"/>
    </xf>
    <xf numFmtId="0" fontId="9" fillId="7" borderId="63" xfId="0" applyFont="1" applyFill="1" applyBorder="1" applyAlignment="1">
      <alignment horizontal="center" vertical="center" wrapText="1"/>
    </xf>
    <xf numFmtId="0" fontId="9" fillId="7" borderId="65" xfId="0" applyFont="1" applyFill="1" applyBorder="1" applyAlignment="1">
      <alignment horizontal="center" vertical="center" wrapText="1"/>
    </xf>
    <xf numFmtId="0" fontId="9" fillId="7" borderId="44" xfId="0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7" fillId="7" borderId="87" xfId="0" applyFont="1" applyFill="1" applyBorder="1" applyAlignment="1">
      <alignment horizontal="center" vertical="center"/>
    </xf>
    <xf numFmtId="0" fontId="7" fillId="7" borderId="83" xfId="0" applyFont="1" applyFill="1" applyBorder="1" applyAlignment="1">
      <alignment horizontal="center" vertical="center"/>
    </xf>
    <xf numFmtId="0" fontId="7" fillId="7" borderId="80" xfId="0" applyFont="1" applyFill="1" applyBorder="1" applyAlignment="1">
      <alignment horizontal="center" vertical="center"/>
    </xf>
    <xf numFmtId="0" fontId="9" fillId="8" borderId="65" xfId="0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 vertical="center" wrapText="1"/>
    </xf>
    <xf numFmtId="0" fontId="8" fillId="3" borderId="86" xfId="0" applyFont="1" applyFill="1" applyBorder="1" applyAlignment="1">
      <alignment horizontal="center" vertical="center" wrapText="1"/>
    </xf>
    <xf numFmtId="0" fontId="9" fillId="7" borderId="49" xfId="0" applyFont="1" applyFill="1" applyBorder="1" applyAlignment="1">
      <alignment horizontal="center" vertical="center" wrapText="1"/>
    </xf>
    <xf numFmtId="0" fontId="9" fillId="7" borderId="50" xfId="0" applyFont="1" applyFill="1" applyBorder="1" applyAlignment="1">
      <alignment horizontal="center" vertical="center" wrapText="1"/>
    </xf>
    <xf numFmtId="0" fontId="9" fillId="7" borderId="66" xfId="0" applyFont="1" applyFill="1" applyBorder="1" applyAlignment="1">
      <alignment horizontal="center" vertical="center" wrapText="1"/>
    </xf>
    <xf numFmtId="0" fontId="11" fillId="7" borderId="89" xfId="0" applyFont="1" applyFill="1" applyBorder="1" applyAlignment="1">
      <alignment horizontal="center" vertical="center"/>
    </xf>
    <xf numFmtId="0" fontId="11" fillId="7" borderId="90" xfId="0" applyFont="1" applyFill="1" applyBorder="1" applyAlignment="1">
      <alignment horizontal="center" vertical="center"/>
    </xf>
    <xf numFmtId="0" fontId="11" fillId="7" borderId="91" xfId="0" applyFont="1" applyFill="1" applyBorder="1" applyAlignment="1">
      <alignment horizontal="center" vertical="center"/>
    </xf>
    <xf numFmtId="0" fontId="24" fillId="19" borderId="7" xfId="0" applyFont="1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85" xfId="0" applyFont="1" applyBorder="1" applyAlignment="1">
      <alignment horizontal="center" vertical="center" wrapText="1"/>
    </xf>
    <xf numFmtId="0" fontId="8" fillId="5" borderId="45" xfId="0" applyFont="1" applyFill="1" applyBorder="1" applyAlignment="1">
      <alignment horizontal="center" vertical="center" wrapText="1"/>
    </xf>
    <xf numFmtId="0" fontId="8" fillId="5" borderId="63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wrapText="1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9" fillId="8" borderId="73" xfId="0" applyFont="1" applyFill="1" applyBorder="1" applyAlignment="1">
      <alignment horizontal="center" vertical="center" wrapText="1"/>
    </xf>
    <xf numFmtId="0" fontId="9" fillId="8" borderId="69" xfId="0" applyFont="1" applyFill="1" applyBorder="1" applyAlignment="1">
      <alignment horizontal="center" vertical="center" wrapText="1"/>
    </xf>
    <xf numFmtId="0" fontId="9" fillId="8" borderId="71" xfId="0" applyFont="1" applyFill="1" applyBorder="1" applyAlignment="1">
      <alignment horizontal="center" vertical="center" wrapText="1"/>
    </xf>
    <xf numFmtId="0" fontId="8" fillId="5" borderId="81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16" fillId="11" borderId="17" xfId="0" applyFont="1" applyFill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41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401"/>
  <sheetViews>
    <sheetView tabSelected="1" zoomScale="90" zoomScaleNormal="90" workbookViewId="0">
      <pane ySplit="5" topLeftCell="A6" activePane="bottomLeft" state="frozen"/>
      <selection activeCell="F156" sqref="F156"/>
      <selection pane="bottomLeft" activeCell="C2" sqref="C2"/>
    </sheetView>
  </sheetViews>
  <sheetFormatPr defaultRowHeight="15" x14ac:dyDescent="0.25"/>
  <cols>
    <col min="1" max="1" width="5.85546875" customWidth="1"/>
    <col min="2" max="2" width="23.5703125" customWidth="1"/>
    <col min="3" max="3" width="20.7109375" customWidth="1"/>
    <col min="4" max="4" width="45.7109375" style="1" customWidth="1"/>
    <col min="5" max="5" width="9.140625" hidden="1" customWidth="1"/>
    <col min="6" max="6" width="17.5703125" customWidth="1"/>
    <col min="7" max="7" width="15.28515625" customWidth="1"/>
    <col min="8" max="8" width="14.42578125" customWidth="1"/>
    <col min="9" max="9" width="19.28515625" hidden="1" customWidth="1"/>
    <col min="10" max="14" width="3.28515625" hidden="1" customWidth="1"/>
    <col min="15" max="15" width="12.140625" style="2" customWidth="1"/>
  </cols>
  <sheetData>
    <row r="2" spans="1:15" x14ac:dyDescent="0.25">
      <c r="D2" s="220" t="s">
        <v>717</v>
      </c>
    </row>
    <row r="3" spans="1:15" ht="15.75" thickBot="1" x14ac:dyDescent="0.3">
      <c r="J3" s="530" t="s">
        <v>0</v>
      </c>
      <c r="K3" s="530"/>
      <c r="L3" s="530"/>
      <c r="M3" s="530"/>
      <c r="N3" s="531"/>
      <c r="O3" s="3"/>
    </row>
    <row r="4" spans="1:15" ht="35.25" customHeight="1" x14ac:dyDescent="0.25">
      <c r="A4" s="532" t="s">
        <v>2</v>
      </c>
      <c r="B4" s="534" t="s">
        <v>3</v>
      </c>
      <c r="C4" s="536" t="s">
        <v>4</v>
      </c>
      <c r="D4" s="538" t="s">
        <v>5</v>
      </c>
      <c r="E4" s="539" t="s">
        <v>6</v>
      </c>
      <c r="F4" s="540"/>
      <c r="G4" s="298"/>
      <c r="H4" s="541" t="s">
        <v>7</v>
      </c>
      <c r="I4" s="542"/>
      <c r="J4" s="542"/>
      <c r="K4" s="542"/>
      <c r="L4" s="542"/>
      <c r="M4" s="542"/>
      <c r="N4" s="542"/>
      <c r="O4" s="543"/>
    </row>
    <row r="5" spans="1:15" ht="40.5" customHeight="1" x14ac:dyDescent="0.25">
      <c r="A5" s="533"/>
      <c r="B5" s="535"/>
      <c r="C5" s="537"/>
      <c r="D5" s="537"/>
      <c r="E5" s="4"/>
      <c r="F5" s="4" t="s">
        <v>8</v>
      </c>
      <c r="G5" s="299" t="s">
        <v>9</v>
      </c>
      <c r="H5" s="300" t="s">
        <v>8</v>
      </c>
      <c r="I5" s="301"/>
      <c r="J5" s="302"/>
      <c r="K5" s="302"/>
      <c r="L5" s="302"/>
      <c r="M5" s="302"/>
      <c r="N5" s="302"/>
      <c r="O5" s="303" t="s">
        <v>702</v>
      </c>
    </row>
    <row r="6" spans="1:15" ht="15.75" thickBot="1" x14ac:dyDescent="0.3">
      <c r="A6" s="448">
        <v>1</v>
      </c>
      <c r="B6" s="449">
        <v>2</v>
      </c>
      <c r="C6" s="450">
        <v>3</v>
      </c>
      <c r="D6" s="451">
        <v>4</v>
      </c>
      <c r="E6" s="452">
        <v>5</v>
      </c>
      <c r="F6" s="452">
        <v>6</v>
      </c>
      <c r="G6" s="452">
        <v>7</v>
      </c>
      <c r="H6" s="452">
        <v>8</v>
      </c>
      <c r="I6" s="453">
        <v>9</v>
      </c>
      <c r="J6" s="442"/>
      <c r="K6" s="442"/>
      <c r="L6" s="442"/>
      <c r="M6" s="442"/>
      <c r="N6" s="442"/>
      <c r="O6" s="452">
        <v>9</v>
      </c>
    </row>
    <row r="7" spans="1:15" ht="15.75" thickBot="1" x14ac:dyDescent="0.3">
      <c r="A7" s="164"/>
      <c r="B7" s="544" t="s">
        <v>10</v>
      </c>
      <c r="C7" s="545"/>
      <c r="D7" s="545"/>
      <c r="E7" s="130"/>
      <c r="F7" s="457"/>
      <c r="G7" s="130"/>
      <c r="H7" s="204"/>
      <c r="I7" s="132"/>
      <c r="J7" s="444"/>
      <c r="K7" s="444"/>
      <c r="L7" s="444"/>
      <c r="M7" s="444"/>
      <c r="N7" s="444"/>
      <c r="O7" s="445"/>
    </row>
    <row r="8" spans="1:15" ht="15.75" thickBot="1" x14ac:dyDescent="0.3">
      <c r="A8" s="454">
        <v>1</v>
      </c>
      <c r="B8" s="307" t="s">
        <v>11</v>
      </c>
      <c r="C8" s="308" t="s">
        <v>12</v>
      </c>
      <c r="D8" s="309" t="s">
        <v>13</v>
      </c>
      <c r="E8" s="310"/>
      <c r="F8" s="310" t="s">
        <v>14</v>
      </c>
      <c r="G8" s="393"/>
      <c r="H8" s="310" t="s">
        <v>14</v>
      </c>
      <c r="I8" s="455"/>
      <c r="J8" s="456"/>
      <c r="K8" s="456"/>
      <c r="L8" s="456"/>
      <c r="M8" s="456"/>
      <c r="N8" s="456"/>
      <c r="O8" s="306" t="s">
        <v>15</v>
      </c>
    </row>
    <row r="9" spans="1:15" ht="24" customHeight="1" thickBot="1" x14ac:dyDescent="0.3">
      <c r="A9" s="446">
        <f t="shared" ref="A9:A10" si="0">A8+1</f>
        <v>2</v>
      </c>
      <c r="B9" s="307" t="s">
        <v>11</v>
      </c>
      <c r="C9" s="308" t="s">
        <v>16</v>
      </c>
      <c r="D9" s="309" t="s">
        <v>17</v>
      </c>
      <c r="E9" s="310"/>
      <c r="F9" s="10" t="s">
        <v>14</v>
      </c>
      <c r="G9" s="305"/>
      <c r="H9" s="10" t="s">
        <v>14</v>
      </c>
      <c r="I9" s="311"/>
      <c r="J9" s="5"/>
      <c r="K9" s="5"/>
      <c r="L9" s="5"/>
      <c r="M9" s="5"/>
      <c r="N9" s="12"/>
      <c r="O9" s="312" t="s">
        <v>15</v>
      </c>
    </row>
    <row r="10" spans="1:15" ht="15.75" thickBot="1" x14ac:dyDescent="0.3">
      <c r="A10" s="446">
        <f t="shared" si="0"/>
        <v>3</v>
      </c>
      <c r="B10" s="313" t="s">
        <v>18</v>
      </c>
      <c r="C10" s="314" t="s">
        <v>19</v>
      </c>
      <c r="D10" s="315" t="s">
        <v>20</v>
      </c>
      <c r="E10" s="316"/>
      <c r="F10" s="13" t="s">
        <v>21</v>
      </c>
      <c r="G10" s="317">
        <v>46081</v>
      </c>
      <c r="H10" s="13" t="s">
        <v>21</v>
      </c>
      <c r="I10" s="14"/>
      <c r="J10" s="6"/>
      <c r="K10" s="6"/>
      <c r="L10" s="6"/>
      <c r="M10" s="6"/>
      <c r="N10" s="15"/>
      <c r="O10" s="318" t="s">
        <v>22</v>
      </c>
    </row>
    <row r="11" spans="1:15" ht="15.75" thickBot="1" x14ac:dyDescent="0.3">
      <c r="A11" s="446">
        <f t="shared" ref="A11:A14" si="1">A10+1</f>
        <v>4</v>
      </c>
      <c r="B11" s="319" t="s">
        <v>23</v>
      </c>
      <c r="C11" s="16" t="s">
        <v>24</v>
      </c>
      <c r="D11" s="17" t="s">
        <v>25</v>
      </c>
      <c r="E11" s="10"/>
      <c r="F11" s="10" t="s">
        <v>14</v>
      </c>
      <c r="G11" s="305"/>
      <c r="H11" s="10" t="s">
        <v>26</v>
      </c>
      <c r="I11" s="18"/>
      <c r="J11" s="5"/>
      <c r="K11" s="5"/>
      <c r="L11" s="5"/>
      <c r="M11" s="5"/>
      <c r="N11" s="12"/>
      <c r="O11" s="306" t="s">
        <v>15</v>
      </c>
    </row>
    <row r="12" spans="1:15" ht="15.75" thickBot="1" x14ac:dyDescent="0.3">
      <c r="A12" s="446">
        <f t="shared" si="1"/>
        <v>5</v>
      </c>
      <c r="B12" s="307"/>
      <c r="C12" s="308" t="s">
        <v>27</v>
      </c>
      <c r="D12" s="309" t="s">
        <v>28</v>
      </c>
      <c r="E12" s="310"/>
      <c r="F12" s="10" t="s">
        <v>14</v>
      </c>
      <c r="G12" s="305"/>
      <c r="H12" s="10" t="s">
        <v>26</v>
      </c>
      <c r="I12" s="320"/>
      <c r="J12" s="5"/>
      <c r="K12" s="5"/>
      <c r="L12" s="5"/>
      <c r="M12" s="5"/>
      <c r="N12" s="12"/>
      <c r="O12" s="312" t="s">
        <v>15</v>
      </c>
    </row>
    <row r="13" spans="1:15" ht="24" x14ac:dyDescent="0.25">
      <c r="A13" s="446">
        <f t="shared" si="1"/>
        <v>6</v>
      </c>
      <c r="B13" s="319" t="s">
        <v>29</v>
      </c>
      <c r="C13" s="16" t="s">
        <v>30</v>
      </c>
      <c r="D13" s="17" t="s">
        <v>31</v>
      </c>
      <c r="E13" s="10"/>
      <c r="F13" s="10" t="s">
        <v>14</v>
      </c>
      <c r="G13" s="9"/>
      <c r="H13" s="10" t="s">
        <v>14</v>
      </c>
      <c r="I13" s="19"/>
      <c r="J13" s="5"/>
      <c r="K13" s="5"/>
      <c r="L13" s="5"/>
      <c r="M13" s="5"/>
      <c r="N13" s="12"/>
      <c r="O13" s="312" t="s">
        <v>15</v>
      </c>
    </row>
    <row r="14" spans="1:15" ht="12.75" customHeight="1" thickBot="1" x14ac:dyDescent="0.3">
      <c r="A14" s="458">
        <f t="shared" si="1"/>
        <v>7</v>
      </c>
      <c r="B14" s="459"/>
      <c r="C14" s="371" t="s">
        <v>19</v>
      </c>
      <c r="D14" s="460" t="s">
        <v>32</v>
      </c>
      <c r="E14" s="461"/>
      <c r="F14" s="461"/>
      <c r="G14" s="462">
        <v>46081</v>
      </c>
      <c r="H14" s="461"/>
      <c r="I14" s="463"/>
      <c r="J14" s="442"/>
      <c r="K14" s="442"/>
      <c r="L14" s="442"/>
      <c r="M14" s="442"/>
      <c r="N14" s="442"/>
      <c r="O14" s="411"/>
    </row>
    <row r="15" spans="1:15" ht="15.75" thickBot="1" x14ac:dyDescent="0.3">
      <c r="A15" s="164"/>
      <c r="B15" s="544" t="s">
        <v>33</v>
      </c>
      <c r="C15" s="545"/>
      <c r="D15" s="546"/>
      <c r="E15" s="511"/>
      <c r="F15" s="512"/>
      <c r="G15" s="511"/>
      <c r="H15" s="513"/>
      <c r="I15" s="132"/>
      <c r="J15" s="444"/>
      <c r="K15" s="444"/>
      <c r="L15" s="444"/>
      <c r="M15" s="444"/>
      <c r="N15" s="444"/>
      <c r="O15" s="445"/>
    </row>
    <row r="16" spans="1:15" ht="38.25" customHeight="1" thickBot="1" x14ac:dyDescent="0.3">
      <c r="A16" s="168">
        <f>A14+1</f>
        <v>8</v>
      </c>
      <c r="B16" s="547" t="s">
        <v>34</v>
      </c>
      <c r="C16" s="564" t="s">
        <v>16</v>
      </c>
      <c r="D16" s="506" t="s">
        <v>35</v>
      </c>
      <c r="E16" s="507"/>
      <c r="F16" s="508" t="s">
        <v>704</v>
      </c>
      <c r="G16" s="508" t="s">
        <v>168</v>
      </c>
      <c r="H16" s="508" t="s">
        <v>37</v>
      </c>
      <c r="I16" s="510" t="s">
        <v>38</v>
      </c>
      <c r="J16" s="302"/>
      <c r="K16" s="302"/>
      <c r="L16" s="302"/>
      <c r="M16" s="302"/>
      <c r="N16" s="302"/>
      <c r="O16" s="321"/>
    </row>
    <row r="17" spans="1:26" ht="28.5" customHeight="1" thickBot="1" x14ac:dyDescent="0.3">
      <c r="A17" s="183">
        <f t="shared" ref="A17:A80" si="2">A16+1</f>
        <v>9</v>
      </c>
      <c r="B17" s="547"/>
      <c r="C17" s="565"/>
      <c r="D17" s="506" t="s">
        <v>39</v>
      </c>
      <c r="E17" s="507"/>
      <c r="F17" s="508" t="s">
        <v>705</v>
      </c>
      <c r="G17" s="508" t="s">
        <v>709</v>
      </c>
      <c r="H17" s="508" t="s">
        <v>706</v>
      </c>
      <c r="I17" s="505" t="s">
        <v>40</v>
      </c>
      <c r="J17" s="5"/>
      <c r="K17" s="5"/>
      <c r="L17" s="5"/>
      <c r="M17" s="5"/>
      <c r="N17" s="5"/>
      <c r="O17" s="304"/>
    </row>
    <row r="18" spans="1:26" ht="28.5" customHeight="1" thickBot="1" x14ac:dyDescent="0.3">
      <c r="A18" s="183">
        <f t="shared" si="2"/>
        <v>10</v>
      </c>
      <c r="B18" s="547"/>
      <c r="C18" s="566"/>
      <c r="D18" s="506" t="s">
        <v>707</v>
      </c>
      <c r="E18" s="507"/>
      <c r="F18" s="508" t="s">
        <v>148</v>
      </c>
      <c r="G18" s="508" t="s">
        <v>708</v>
      </c>
      <c r="H18" s="508" t="s">
        <v>21</v>
      </c>
      <c r="I18" s="509"/>
      <c r="J18" s="5"/>
      <c r="K18" s="5"/>
      <c r="L18" s="5"/>
      <c r="M18" s="5"/>
      <c r="N18" s="5"/>
      <c r="O18" s="304"/>
    </row>
    <row r="19" spans="1:26" ht="28.5" customHeight="1" thickBot="1" x14ac:dyDescent="0.3">
      <c r="A19" s="183">
        <f t="shared" si="2"/>
        <v>11</v>
      </c>
      <c r="B19" s="547"/>
      <c r="C19" s="494" t="s">
        <v>41</v>
      </c>
      <c r="D19" s="506" t="s">
        <v>42</v>
      </c>
      <c r="E19" s="507"/>
      <c r="F19" s="508" t="s">
        <v>21</v>
      </c>
      <c r="G19" s="508" t="s">
        <v>43</v>
      </c>
      <c r="H19" s="508" t="s">
        <v>21</v>
      </c>
      <c r="I19" s="509" t="s">
        <v>40</v>
      </c>
      <c r="J19" s="5"/>
      <c r="K19" s="5"/>
      <c r="L19" s="5"/>
      <c r="M19" s="5"/>
      <c r="N19" s="5"/>
      <c r="O19" s="304"/>
    </row>
    <row r="20" spans="1:26" ht="28.5" customHeight="1" thickBot="1" x14ac:dyDescent="0.3">
      <c r="A20" s="183">
        <f t="shared" si="2"/>
        <v>12</v>
      </c>
      <c r="B20" s="547"/>
      <c r="C20" s="322" t="s">
        <v>41</v>
      </c>
      <c r="D20" s="323" t="s">
        <v>44</v>
      </c>
      <c r="E20" s="324"/>
      <c r="F20" s="335" t="s">
        <v>21</v>
      </c>
      <c r="G20" s="335" t="s">
        <v>43</v>
      </c>
      <c r="H20" s="335"/>
      <c r="I20" s="326"/>
      <c r="J20" s="5"/>
      <c r="K20" s="5"/>
      <c r="L20" s="5"/>
      <c r="M20" s="5"/>
      <c r="N20" s="5"/>
      <c r="O20" s="304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28.5" customHeight="1" thickBot="1" x14ac:dyDescent="0.3">
      <c r="A21" s="183">
        <f t="shared" si="2"/>
        <v>13</v>
      </c>
      <c r="B21" s="548"/>
      <c r="C21" s="322" t="s">
        <v>45</v>
      </c>
      <c r="D21" s="323" t="s">
        <v>46</v>
      </c>
      <c r="E21" s="324"/>
      <c r="F21" s="13" t="s">
        <v>21</v>
      </c>
      <c r="G21" s="325">
        <v>46081</v>
      </c>
      <c r="H21" s="13"/>
      <c r="I21" s="26"/>
      <c r="J21" s="5"/>
      <c r="K21" s="5"/>
      <c r="L21" s="5"/>
      <c r="M21" s="5"/>
      <c r="N21" s="5"/>
      <c r="O21" s="304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28.5" customHeight="1" thickBot="1" x14ac:dyDescent="0.3">
      <c r="A22" s="183">
        <f t="shared" si="2"/>
        <v>14</v>
      </c>
      <c r="B22" s="547"/>
      <c r="C22" s="328" t="s">
        <v>47</v>
      </c>
      <c r="D22" s="329" t="s">
        <v>48</v>
      </c>
      <c r="E22" s="330"/>
      <c r="F22" s="31"/>
      <c r="G22" s="331"/>
      <c r="H22" s="31"/>
      <c r="I22" s="326"/>
      <c r="J22" s="5"/>
      <c r="K22" s="5"/>
      <c r="L22" s="5"/>
      <c r="M22" s="5"/>
      <c r="N22" s="5"/>
      <c r="O22" s="304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28.5" customHeight="1" thickBot="1" x14ac:dyDescent="0.3">
      <c r="A23" s="183">
        <f t="shared" si="2"/>
        <v>15</v>
      </c>
      <c r="B23" s="547"/>
      <c r="C23" s="328" t="s">
        <v>47</v>
      </c>
      <c r="D23" s="329" t="s">
        <v>49</v>
      </c>
      <c r="E23" s="32"/>
      <c r="F23" s="31"/>
      <c r="G23" s="31"/>
      <c r="H23" s="31"/>
      <c r="I23" s="26"/>
      <c r="J23" s="5"/>
      <c r="K23" s="5"/>
      <c r="L23" s="5"/>
      <c r="M23" s="5"/>
      <c r="N23" s="5"/>
      <c r="O23" s="304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28.5" customHeight="1" thickBot="1" x14ac:dyDescent="0.3">
      <c r="A24" s="183">
        <f t="shared" si="2"/>
        <v>16</v>
      </c>
      <c r="B24" s="547"/>
      <c r="C24" s="328" t="s">
        <v>47</v>
      </c>
      <c r="D24" s="329" t="s">
        <v>50</v>
      </c>
      <c r="E24" s="32"/>
      <c r="F24" s="31"/>
      <c r="G24" s="31"/>
      <c r="H24" s="31"/>
      <c r="I24" s="26" t="s">
        <v>40</v>
      </c>
      <c r="J24" s="5"/>
      <c r="K24" s="5"/>
      <c r="L24" s="5"/>
      <c r="M24" s="5"/>
      <c r="N24" s="5"/>
      <c r="O24" s="304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28.5" customHeight="1" thickBot="1" x14ac:dyDescent="0.3">
      <c r="A25" s="183">
        <f t="shared" si="2"/>
        <v>17</v>
      </c>
      <c r="B25" s="547"/>
      <c r="C25" s="322" t="s">
        <v>16</v>
      </c>
      <c r="D25" s="323" t="s">
        <v>51</v>
      </c>
      <c r="E25" s="324"/>
      <c r="F25" s="13" t="s">
        <v>21</v>
      </c>
      <c r="G25" s="332">
        <v>46081</v>
      </c>
      <c r="H25" s="13"/>
      <c r="I25" s="33"/>
      <c r="J25" s="5"/>
      <c r="K25" s="5"/>
      <c r="L25" s="5"/>
      <c r="M25" s="5"/>
      <c r="N25" s="5"/>
      <c r="O25" s="304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28.5" customHeight="1" thickBot="1" x14ac:dyDescent="0.3">
      <c r="A26" s="183">
        <f t="shared" si="2"/>
        <v>18</v>
      </c>
      <c r="B26" s="549"/>
      <c r="C26" s="34" t="s">
        <v>52</v>
      </c>
      <c r="D26" s="35" t="s">
        <v>53</v>
      </c>
      <c r="E26" s="36"/>
      <c r="F26" s="37" t="s">
        <v>21</v>
      </c>
      <c r="G26" s="38">
        <v>46084</v>
      </c>
      <c r="H26" s="37"/>
      <c r="I26" s="39"/>
      <c r="J26" s="5"/>
      <c r="K26" s="5"/>
      <c r="L26" s="5"/>
      <c r="M26" s="5"/>
      <c r="N26" s="5"/>
      <c r="O26" s="304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24.75" thickBot="1" x14ac:dyDescent="0.3">
      <c r="A27" s="183">
        <f t="shared" si="2"/>
        <v>19</v>
      </c>
      <c r="B27" s="550" t="s">
        <v>54</v>
      </c>
      <c r="C27" s="551" t="s">
        <v>16</v>
      </c>
      <c r="D27" s="40" t="s">
        <v>55</v>
      </c>
      <c r="E27" s="41"/>
      <c r="F27" s="42" t="s">
        <v>21</v>
      </c>
      <c r="G27" s="332">
        <v>46080</v>
      </c>
      <c r="H27" s="42"/>
      <c r="I27" s="43"/>
      <c r="J27" s="5"/>
      <c r="K27" s="5"/>
      <c r="L27" s="5"/>
      <c r="M27" s="5"/>
      <c r="N27" s="5"/>
      <c r="O27" s="304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24.75" thickBot="1" x14ac:dyDescent="0.3">
      <c r="A28" s="183">
        <f t="shared" si="2"/>
        <v>20</v>
      </c>
      <c r="B28" s="547"/>
      <c r="C28" s="552"/>
      <c r="D28" s="44" t="s">
        <v>56</v>
      </c>
      <c r="E28" s="45"/>
      <c r="F28" s="13" t="s">
        <v>21</v>
      </c>
      <c r="G28" s="332">
        <v>46080</v>
      </c>
      <c r="H28" s="13"/>
      <c r="I28" s="26"/>
      <c r="J28" s="5"/>
      <c r="K28" s="5"/>
      <c r="L28" s="5"/>
      <c r="M28" s="5"/>
      <c r="N28" s="5"/>
      <c r="O28" s="304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21.75" customHeight="1" thickBot="1" x14ac:dyDescent="0.3">
      <c r="A29" s="183">
        <f t="shared" si="2"/>
        <v>21</v>
      </c>
      <c r="B29" s="547"/>
      <c r="C29" s="553"/>
      <c r="D29" s="44" t="s">
        <v>57</v>
      </c>
      <c r="E29" s="333"/>
      <c r="F29" s="13" t="s">
        <v>21</v>
      </c>
      <c r="G29" s="332">
        <v>46080</v>
      </c>
      <c r="H29" s="13"/>
      <c r="I29" s="326"/>
      <c r="J29" s="5"/>
      <c r="K29" s="5"/>
      <c r="L29" s="5"/>
      <c r="M29" s="5"/>
      <c r="N29" s="5"/>
      <c r="O29" s="304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.75" thickBot="1" x14ac:dyDescent="0.3">
      <c r="A30" s="183">
        <f t="shared" si="2"/>
        <v>22</v>
      </c>
      <c r="B30" s="547"/>
      <c r="C30" s="10" t="s">
        <v>58</v>
      </c>
      <c r="D30" s="17" t="s">
        <v>59</v>
      </c>
      <c r="E30" s="46"/>
      <c r="F30" s="10" t="s">
        <v>21</v>
      </c>
      <c r="G30" s="47">
        <v>46080</v>
      </c>
      <c r="H30" s="10" t="s">
        <v>21</v>
      </c>
      <c r="I30" s="26"/>
      <c r="J30" s="5"/>
      <c r="K30" s="5"/>
      <c r="L30" s="5"/>
      <c r="M30" s="5"/>
      <c r="N30" s="5"/>
      <c r="O30" s="304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.75" thickBot="1" x14ac:dyDescent="0.3">
      <c r="A31" s="183">
        <f t="shared" si="2"/>
        <v>23</v>
      </c>
      <c r="B31" s="549"/>
      <c r="C31" s="37" t="s">
        <v>60</v>
      </c>
      <c r="D31" s="48" t="s">
        <v>61</v>
      </c>
      <c r="E31" s="49"/>
      <c r="F31" s="37" t="s">
        <v>21</v>
      </c>
      <c r="G31" s="50">
        <v>46080</v>
      </c>
      <c r="H31" s="51"/>
      <c r="I31" s="39"/>
      <c r="J31" s="5"/>
      <c r="K31" s="5"/>
      <c r="L31" s="5"/>
      <c r="M31" s="5"/>
      <c r="N31" s="5"/>
      <c r="O31" s="304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.75" thickBot="1" x14ac:dyDescent="0.3">
      <c r="A32" s="183">
        <f t="shared" si="2"/>
        <v>24</v>
      </c>
      <c r="B32" s="554" t="s">
        <v>62</v>
      </c>
      <c r="C32" s="552" t="s">
        <v>45</v>
      </c>
      <c r="D32" s="334" t="s">
        <v>63</v>
      </c>
      <c r="E32" s="333"/>
      <c r="F32" s="335"/>
      <c r="G32" s="332">
        <v>46084</v>
      </c>
      <c r="H32" s="331"/>
      <c r="I32" s="336"/>
      <c r="J32" s="5"/>
      <c r="K32" s="5"/>
      <c r="L32" s="5"/>
      <c r="M32" s="5"/>
      <c r="N32" s="5"/>
      <c r="O32" s="304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29.25" customHeight="1" thickBot="1" x14ac:dyDescent="0.3">
      <c r="A33" s="183">
        <f t="shared" si="2"/>
        <v>25</v>
      </c>
      <c r="B33" s="554"/>
      <c r="C33" s="552"/>
      <c r="D33" s="52" t="s">
        <v>64</v>
      </c>
      <c r="E33" s="337"/>
      <c r="F33" s="29" t="s">
        <v>21</v>
      </c>
      <c r="G33" s="338">
        <v>46084</v>
      </c>
      <c r="H33" s="29" t="s">
        <v>21</v>
      </c>
      <c r="I33" s="53"/>
      <c r="J33" s="5"/>
      <c r="K33" s="5"/>
      <c r="L33" s="5"/>
      <c r="M33" s="5"/>
      <c r="N33" s="5"/>
      <c r="O33" s="304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.75" thickBot="1" x14ac:dyDescent="0.3">
      <c r="A34" s="183">
        <f t="shared" si="2"/>
        <v>26</v>
      </c>
      <c r="B34" s="554"/>
      <c r="C34" s="552"/>
      <c r="D34" s="44" t="s">
        <v>65</v>
      </c>
      <c r="E34" s="333"/>
      <c r="F34" s="13" t="s">
        <v>21</v>
      </c>
      <c r="G34" s="332">
        <v>46084</v>
      </c>
      <c r="H34" s="31"/>
      <c r="I34" s="339"/>
      <c r="J34" s="5"/>
      <c r="K34" s="5"/>
      <c r="L34" s="5"/>
      <c r="M34" s="5"/>
      <c r="N34" s="5"/>
      <c r="O34" s="304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.75" thickBot="1" x14ac:dyDescent="0.3">
      <c r="A35" s="183">
        <f t="shared" si="2"/>
        <v>27</v>
      </c>
      <c r="B35" s="554"/>
      <c r="C35" s="552"/>
      <c r="D35" s="52" t="s">
        <v>66</v>
      </c>
      <c r="E35" s="340"/>
      <c r="F35" s="29" t="s">
        <v>21</v>
      </c>
      <c r="G35" s="338">
        <v>46084</v>
      </c>
      <c r="H35" s="29" t="s">
        <v>21</v>
      </c>
      <c r="I35" s="33"/>
      <c r="J35" s="5"/>
      <c r="K35" s="5"/>
      <c r="L35" s="5"/>
      <c r="M35" s="5"/>
      <c r="N35" s="5"/>
      <c r="O35" s="304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.75" thickBot="1" x14ac:dyDescent="0.3">
      <c r="A36" s="183">
        <f t="shared" si="2"/>
        <v>28</v>
      </c>
      <c r="B36" s="554"/>
      <c r="C36" s="552"/>
      <c r="D36" s="44" t="s">
        <v>67</v>
      </c>
      <c r="E36" s="45"/>
      <c r="F36" s="13"/>
      <c r="G36" s="332">
        <v>46084</v>
      </c>
      <c r="H36" s="31"/>
      <c r="I36" s="54"/>
      <c r="J36" s="5"/>
      <c r="K36" s="5"/>
      <c r="L36" s="5"/>
      <c r="M36" s="5"/>
      <c r="N36" s="5"/>
      <c r="O36" s="304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26.25" customHeight="1" thickBot="1" x14ac:dyDescent="0.3">
      <c r="A37" s="183">
        <f t="shared" si="2"/>
        <v>29</v>
      </c>
      <c r="B37" s="554"/>
      <c r="C37" s="552"/>
      <c r="D37" s="44" t="s">
        <v>68</v>
      </c>
      <c r="E37" s="333"/>
      <c r="F37" s="13" t="s">
        <v>21</v>
      </c>
      <c r="G37" s="332">
        <v>46084</v>
      </c>
      <c r="H37" s="31"/>
      <c r="I37" s="341"/>
      <c r="J37" s="5"/>
      <c r="K37" s="5"/>
      <c r="L37" s="5"/>
      <c r="M37" s="5"/>
      <c r="N37" s="5"/>
      <c r="O37" s="304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24.75" thickBot="1" x14ac:dyDescent="0.3">
      <c r="A38" s="183">
        <f t="shared" si="2"/>
        <v>30</v>
      </c>
      <c r="B38" s="554"/>
      <c r="C38" s="552"/>
      <c r="D38" s="44" t="s">
        <v>69</v>
      </c>
      <c r="E38" s="333"/>
      <c r="F38" s="13"/>
      <c r="G38" s="332">
        <v>46084</v>
      </c>
      <c r="H38" s="31"/>
      <c r="I38" s="341"/>
      <c r="J38" s="5"/>
      <c r="K38" s="5"/>
      <c r="L38" s="5"/>
      <c r="M38" s="5"/>
      <c r="N38" s="5"/>
      <c r="O38" s="304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24.75" thickBot="1" x14ac:dyDescent="0.3">
      <c r="A39" s="183">
        <f t="shared" si="2"/>
        <v>31</v>
      </c>
      <c r="B39" s="554"/>
      <c r="C39" s="552"/>
      <c r="D39" s="44" t="s">
        <v>70</v>
      </c>
      <c r="E39" s="333"/>
      <c r="F39" s="13"/>
      <c r="G39" s="332">
        <v>46084</v>
      </c>
      <c r="H39" s="31"/>
      <c r="I39" s="341"/>
      <c r="J39" s="5"/>
      <c r="K39" s="5"/>
      <c r="L39" s="5"/>
      <c r="M39" s="5"/>
      <c r="N39" s="5"/>
      <c r="O39" s="304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24.75" thickBot="1" x14ac:dyDescent="0.3">
      <c r="A40" s="183">
        <f t="shared" si="2"/>
        <v>32</v>
      </c>
      <c r="B40" s="554"/>
      <c r="C40" s="552"/>
      <c r="D40" s="44" t="s">
        <v>71</v>
      </c>
      <c r="E40" s="333"/>
      <c r="F40" s="13"/>
      <c r="G40" s="332">
        <v>46084</v>
      </c>
      <c r="H40" s="31"/>
      <c r="I40" s="341"/>
      <c r="J40" s="5"/>
      <c r="K40" s="5"/>
      <c r="L40" s="5"/>
      <c r="M40" s="5"/>
      <c r="N40" s="5"/>
      <c r="O40" s="304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24.75" thickBot="1" x14ac:dyDescent="0.3">
      <c r="A41" s="183">
        <f t="shared" si="2"/>
        <v>33</v>
      </c>
      <c r="B41" s="554"/>
      <c r="C41" s="55" t="s">
        <v>47</v>
      </c>
      <c r="D41" s="44" t="s">
        <v>72</v>
      </c>
      <c r="E41" s="333"/>
      <c r="F41" s="13"/>
      <c r="G41" s="331"/>
      <c r="H41" s="31"/>
      <c r="I41" s="341"/>
      <c r="J41" s="5"/>
      <c r="K41" s="5"/>
      <c r="L41" s="5"/>
      <c r="M41" s="5"/>
      <c r="N41" s="5"/>
      <c r="O41" s="304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24.75" thickBot="1" x14ac:dyDescent="0.3">
      <c r="A42" s="297">
        <f t="shared" si="2"/>
        <v>34</v>
      </c>
      <c r="B42" s="554"/>
      <c r="C42" s="314" t="s">
        <v>16</v>
      </c>
      <c r="D42" s="342" t="s">
        <v>73</v>
      </c>
      <c r="E42" s="343"/>
      <c r="F42" s="344"/>
      <c r="G42" s="374">
        <v>46080</v>
      </c>
      <c r="H42" s="344"/>
      <c r="I42" s="339"/>
      <c r="J42" s="442"/>
      <c r="K42" s="442"/>
      <c r="L42" s="442"/>
      <c r="M42" s="442"/>
      <c r="N42" s="442"/>
      <c r="O42" s="39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24.75" thickBot="1" x14ac:dyDescent="0.3">
      <c r="A43" s="496">
        <f t="shared" si="2"/>
        <v>35</v>
      </c>
      <c r="B43" s="345" t="s">
        <v>74</v>
      </c>
      <c r="C43" s="56" t="s">
        <v>45</v>
      </c>
      <c r="D43" s="57" t="s">
        <v>75</v>
      </c>
      <c r="E43" s="58"/>
      <c r="F43" s="497" t="s">
        <v>21</v>
      </c>
      <c r="G43" s="108">
        <v>46084</v>
      </c>
      <c r="H43" s="59"/>
      <c r="I43" s="60"/>
      <c r="J43" s="444"/>
      <c r="K43" s="444"/>
      <c r="L43" s="444"/>
      <c r="M43" s="444"/>
      <c r="N43" s="444"/>
      <c r="O43" s="498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.75" thickBot="1" x14ac:dyDescent="0.3">
      <c r="A44" s="296">
        <f t="shared" si="2"/>
        <v>36</v>
      </c>
      <c r="B44" s="547" t="s">
        <v>76</v>
      </c>
      <c r="C44" s="328" t="s">
        <v>77</v>
      </c>
      <c r="D44" s="354" t="s">
        <v>78</v>
      </c>
      <c r="E44" s="348"/>
      <c r="F44" s="331" t="s">
        <v>21</v>
      </c>
      <c r="G44" s="332">
        <v>46081</v>
      </c>
      <c r="H44" s="355"/>
      <c r="I44" s="341"/>
      <c r="J44" s="302"/>
      <c r="K44" s="302"/>
      <c r="L44" s="302"/>
      <c r="M44" s="302"/>
      <c r="N44" s="302"/>
      <c r="O44" s="321"/>
    </row>
    <row r="45" spans="1:26" ht="15.75" thickBot="1" x14ac:dyDescent="0.3">
      <c r="A45" s="183">
        <f t="shared" si="2"/>
        <v>37</v>
      </c>
      <c r="B45" s="547"/>
      <c r="C45" s="66" t="s">
        <v>79</v>
      </c>
      <c r="D45" s="67" t="s">
        <v>80</v>
      </c>
      <c r="E45" s="346"/>
      <c r="F45" s="10" t="s">
        <v>81</v>
      </c>
      <c r="G45" s="310"/>
      <c r="H45" s="10" t="s">
        <v>14</v>
      </c>
      <c r="I45" s="347"/>
      <c r="J45" s="11"/>
      <c r="K45" s="11"/>
      <c r="L45" s="11"/>
      <c r="M45" s="11"/>
      <c r="N45" s="11"/>
      <c r="O45" s="306" t="s">
        <v>15</v>
      </c>
    </row>
    <row r="46" spans="1:26" ht="36.75" thickBot="1" x14ac:dyDescent="0.3">
      <c r="A46" s="183">
        <f t="shared" si="2"/>
        <v>38</v>
      </c>
      <c r="B46" s="547"/>
      <c r="C46" s="55" t="s">
        <v>60</v>
      </c>
      <c r="D46" s="44" t="s">
        <v>82</v>
      </c>
      <c r="E46" s="333"/>
      <c r="F46" s="13" t="s">
        <v>21</v>
      </c>
      <c r="G46" s="335" t="s">
        <v>83</v>
      </c>
      <c r="H46" s="13" t="s">
        <v>21</v>
      </c>
      <c r="I46" s="341"/>
      <c r="J46" s="5"/>
      <c r="K46" s="5"/>
      <c r="L46" s="5"/>
      <c r="M46" s="5"/>
      <c r="N46" s="5"/>
      <c r="O46" s="304"/>
    </row>
    <row r="47" spans="1:26" ht="15.75" thickBot="1" x14ac:dyDescent="0.3">
      <c r="A47" s="183">
        <f t="shared" si="2"/>
        <v>39</v>
      </c>
      <c r="B47" s="547"/>
      <c r="C47" s="68" t="s">
        <v>47</v>
      </c>
      <c r="D47" s="69" t="s">
        <v>84</v>
      </c>
      <c r="E47" s="348"/>
      <c r="F47" s="31"/>
      <c r="G47" s="331"/>
      <c r="H47" s="31"/>
      <c r="I47" s="341"/>
      <c r="J47" s="5"/>
      <c r="K47" s="5"/>
      <c r="L47" s="5"/>
      <c r="M47" s="5"/>
      <c r="N47" s="5"/>
      <c r="O47" s="304"/>
    </row>
    <row r="48" spans="1:26" ht="24.75" thickBot="1" x14ac:dyDescent="0.3">
      <c r="A48" s="183">
        <f t="shared" si="2"/>
        <v>40</v>
      </c>
      <c r="B48" s="549"/>
      <c r="C48" s="20" t="s">
        <v>85</v>
      </c>
      <c r="D48" s="70" t="s">
        <v>86</v>
      </c>
      <c r="E48" s="71"/>
      <c r="F48" s="72" t="s">
        <v>21</v>
      </c>
      <c r="G48" s="73" t="s">
        <v>701</v>
      </c>
      <c r="H48" s="72"/>
      <c r="I48" s="74"/>
      <c r="J48" s="5"/>
      <c r="K48" s="5"/>
      <c r="L48" s="5"/>
      <c r="M48" s="5"/>
      <c r="N48" s="5"/>
      <c r="O48" s="304"/>
    </row>
    <row r="49" spans="1:15" ht="24.75" thickBot="1" x14ac:dyDescent="0.3">
      <c r="A49" s="183">
        <f t="shared" si="2"/>
        <v>41</v>
      </c>
      <c r="B49" s="550" t="s">
        <v>87</v>
      </c>
      <c r="C49" s="75" t="s">
        <v>88</v>
      </c>
      <c r="D49" s="76" t="s">
        <v>89</v>
      </c>
      <c r="E49" s="77"/>
      <c r="F49" s="25" t="s">
        <v>90</v>
      </c>
      <c r="G49" s="25"/>
      <c r="H49" s="75" t="s">
        <v>91</v>
      </c>
      <c r="I49" s="65"/>
      <c r="J49" s="5"/>
      <c r="K49" s="5"/>
      <c r="L49" s="5"/>
      <c r="M49" s="5"/>
      <c r="N49" s="5"/>
      <c r="O49" s="304"/>
    </row>
    <row r="50" spans="1:15" ht="15.75" thickBot="1" x14ac:dyDescent="0.3">
      <c r="A50" s="183">
        <f t="shared" si="2"/>
        <v>42</v>
      </c>
      <c r="B50" s="547"/>
      <c r="C50" s="555" t="s">
        <v>16</v>
      </c>
      <c r="D50" s="78" t="s">
        <v>92</v>
      </c>
      <c r="E50" s="79"/>
      <c r="F50" s="335"/>
      <c r="G50" s="556" t="s">
        <v>710</v>
      </c>
      <c r="H50" s="335"/>
      <c r="I50" s="341"/>
      <c r="J50" s="5"/>
      <c r="K50" s="5"/>
      <c r="L50" s="5"/>
      <c r="M50" s="5"/>
      <c r="N50" s="5"/>
      <c r="O50" s="304"/>
    </row>
    <row r="51" spans="1:15" ht="15.75" thickBot="1" x14ac:dyDescent="0.3">
      <c r="A51" s="183">
        <f t="shared" si="2"/>
        <v>43</v>
      </c>
      <c r="B51" s="547"/>
      <c r="C51" s="552"/>
      <c r="D51" s="78" t="s">
        <v>93</v>
      </c>
      <c r="E51" s="349"/>
      <c r="F51" s="13"/>
      <c r="G51" s="557"/>
      <c r="H51" s="13"/>
      <c r="I51" s="341"/>
      <c r="J51" s="5"/>
      <c r="K51" s="5"/>
      <c r="L51" s="5"/>
      <c r="M51" s="5"/>
      <c r="N51" s="5"/>
      <c r="O51" s="304"/>
    </row>
    <row r="52" spans="1:15" ht="15.75" thickBot="1" x14ac:dyDescent="0.3">
      <c r="A52" s="183">
        <f t="shared" si="2"/>
        <v>44</v>
      </c>
      <c r="B52" s="547"/>
      <c r="C52" s="553"/>
      <c r="D52" s="315" t="s">
        <v>94</v>
      </c>
      <c r="E52" s="349"/>
      <c r="F52" s="13"/>
      <c r="G52" s="558"/>
      <c r="H52" s="13"/>
      <c r="I52" s="341"/>
      <c r="J52" s="5"/>
      <c r="K52" s="5"/>
      <c r="L52" s="5"/>
      <c r="M52" s="5"/>
      <c r="N52" s="5"/>
      <c r="O52" s="304"/>
    </row>
    <row r="53" spans="1:15" ht="15.75" thickBot="1" x14ac:dyDescent="0.3">
      <c r="A53" s="183">
        <f t="shared" si="2"/>
        <v>45</v>
      </c>
      <c r="B53" s="547"/>
      <c r="C53" s="66" t="s">
        <v>79</v>
      </c>
      <c r="D53" s="80" t="s">
        <v>80</v>
      </c>
      <c r="E53" s="350"/>
      <c r="F53" s="351" t="s">
        <v>81</v>
      </c>
      <c r="G53" s="170"/>
      <c r="H53" s="351" t="s">
        <v>14</v>
      </c>
      <c r="I53" s="352"/>
      <c r="J53" s="353"/>
      <c r="K53" s="11"/>
      <c r="L53" s="353"/>
      <c r="M53" s="11"/>
      <c r="N53" s="353"/>
      <c r="O53" s="306" t="s">
        <v>15</v>
      </c>
    </row>
    <row r="54" spans="1:15" ht="25.5" thickBot="1" x14ac:dyDescent="0.3">
      <c r="A54" s="183">
        <f t="shared" si="2"/>
        <v>46</v>
      </c>
      <c r="B54" s="547"/>
      <c r="C54" s="559" t="s">
        <v>77</v>
      </c>
      <c r="D54" s="354" t="s">
        <v>95</v>
      </c>
      <c r="E54" s="348"/>
      <c r="F54" s="13" t="s">
        <v>21</v>
      </c>
      <c r="G54" s="557">
        <v>46081</v>
      </c>
      <c r="H54" s="31"/>
      <c r="I54" s="341" t="s">
        <v>96</v>
      </c>
      <c r="J54" s="5"/>
      <c r="K54" s="5"/>
      <c r="L54" s="5"/>
      <c r="M54" s="5"/>
      <c r="N54" s="5"/>
      <c r="O54" s="304"/>
    </row>
    <row r="55" spans="1:15" ht="25.5" thickBot="1" x14ac:dyDescent="0.3">
      <c r="A55" s="183">
        <f t="shared" si="2"/>
        <v>47</v>
      </c>
      <c r="B55" s="547"/>
      <c r="C55" s="560"/>
      <c r="D55" s="69" t="s">
        <v>97</v>
      </c>
      <c r="E55" s="348"/>
      <c r="F55" s="13" t="s">
        <v>21</v>
      </c>
      <c r="G55" s="562"/>
      <c r="H55" s="31"/>
      <c r="I55" s="341" t="s">
        <v>98</v>
      </c>
      <c r="J55" s="5"/>
      <c r="K55" s="5"/>
      <c r="L55" s="5"/>
      <c r="M55" s="5"/>
      <c r="N55" s="5"/>
      <c r="O55" s="304"/>
    </row>
    <row r="56" spans="1:15" ht="15.75" thickBot="1" x14ac:dyDescent="0.3">
      <c r="A56" s="183">
        <f t="shared" si="2"/>
        <v>48</v>
      </c>
      <c r="B56" s="547"/>
      <c r="C56" s="561"/>
      <c r="D56" s="69" t="s">
        <v>99</v>
      </c>
      <c r="E56" s="348"/>
      <c r="F56" s="13" t="s">
        <v>21</v>
      </c>
      <c r="G56" s="563"/>
      <c r="H56" s="31"/>
      <c r="I56" s="341"/>
      <c r="J56" s="5"/>
      <c r="K56" s="5"/>
      <c r="L56" s="5"/>
      <c r="M56" s="5"/>
      <c r="N56" s="5"/>
      <c r="O56" s="304"/>
    </row>
    <row r="57" spans="1:15" ht="24.75" thickBot="1" x14ac:dyDescent="0.3">
      <c r="A57" s="183">
        <f t="shared" si="2"/>
        <v>49</v>
      </c>
      <c r="B57" s="549"/>
      <c r="C57" s="20" t="s">
        <v>100</v>
      </c>
      <c r="D57" s="70" t="s">
        <v>101</v>
      </c>
      <c r="E57" s="71"/>
      <c r="F57" s="356"/>
      <c r="G57" s="73" t="s">
        <v>102</v>
      </c>
      <c r="H57" s="72"/>
      <c r="I57" s="74"/>
      <c r="J57" s="5"/>
      <c r="K57" s="5"/>
      <c r="L57" s="5"/>
      <c r="M57" s="5"/>
      <c r="N57" s="5"/>
      <c r="O57" s="304"/>
    </row>
    <row r="58" spans="1:15" ht="25.5" thickBot="1" x14ac:dyDescent="0.3">
      <c r="A58" s="183">
        <f t="shared" si="2"/>
        <v>50</v>
      </c>
      <c r="B58" s="550" t="s">
        <v>103</v>
      </c>
      <c r="C58" s="568" t="s">
        <v>77</v>
      </c>
      <c r="D58" s="62" t="s">
        <v>104</v>
      </c>
      <c r="E58" s="63"/>
      <c r="F58" s="13" t="s">
        <v>21</v>
      </c>
      <c r="G58" s="569">
        <v>46083</v>
      </c>
      <c r="H58" s="64"/>
      <c r="I58" s="65" t="s">
        <v>96</v>
      </c>
      <c r="J58" s="5"/>
      <c r="K58" s="5"/>
      <c r="L58" s="5"/>
      <c r="M58" s="5"/>
      <c r="N58" s="5"/>
      <c r="O58" s="304"/>
    </row>
    <row r="59" spans="1:15" ht="48.75" customHeight="1" thickBot="1" x14ac:dyDescent="0.3">
      <c r="A59" s="183">
        <f t="shared" si="2"/>
        <v>51</v>
      </c>
      <c r="B59" s="547"/>
      <c r="C59" s="560"/>
      <c r="D59" s="69" t="s">
        <v>105</v>
      </c>
      <c r="E59" s="348"/>
      <c r="F59" s="13" t="s">
        <v>21</v>
      </c>
      <c r="G59" s="562"/>
      <c r="H59" s="31"/>
      <c r="I59" s="341"/>
      <c r="J59" s="5"/>
      <c r="K59" s="5"/>
      <c r="L59" s="5"/>
      <c r="M59" s="5"/>
      <c r="N59" s="5"/>
      <c r="O59" s="304"/>
    </row>
    <row r="60" spans="1:15" ht="24.75" thickBot="1" x14ac:dyDescent="0.3">
      <c r="A60" s="183">
        <f t="shared" si="2"/>
        <v>52</v>
      </c>
      <c r="B60" s="547"/>
      <c r="C60" s="560"/>
      <c r="D60" s="69" t="s">
        <v>106</v>
      </c>
      <c r="E60" s="348"/>
      <c r="F60" s="13" t="s">
        <v>21</v>
      </c>
      <c r="G60" s="562"/>
      <c r="H60" s="31"/>
      <c r="I60" s="341"/>
      <c r="J60" s="5"/>
      <c r="K60" s="5"/>
      <c r="L60" s="5"/>
      <c r="M60" s="5"/>
      <c r="N60" s="5"/>
      <c r="O60" s="304"/>
    </row>
    <row r="61" spans="1:15" ht="25.5" thickBot="1" x14ac:dyDescent="0.3">
      <c r="A61" s="183">
        <f t="shared" si="2"/>
        <v>53</v>
      </c>
      <c r="B61" s="547"/>
      <c r="C61" s="561"/>
      <c r="D61" s="69" t="s">
        <v>107</v>
      </c>
      <c r="E61" s="348"/>
      <c r="F61" s="13" t="s">
        <v>21</v>
      </c>
      <c r="G61" s="563"/>
      <c r="H61" s="31"/>
      <c r="I61" s="341" t="s">
        <v>98</v>
      </c>
      <c r="J61" s="5"/>
      <c r="K61" s="5"/>
      <c r="L61" s="5"/>
      <c r="M61" s="5"/>
      <c r="N61" s="5"/>
      <c r="O61" s="304"/>
    </row>
    <row r="62" spans="1:15" ht="24.75" thickBot="1" x14ac:dyDescent="0.3">
      <c r="A62" s="183">
        <f t="shared" si="2"/>
        <v>54</v>
      </c>
      <c r="B62" s="547"/>
      <c r="C62" s="328" t="s">
        <v>108</v>
      </c>
      <c r="D62" s="70" t="s">
        <v>109</v>
      </c>
      <c r="E62" s="348"/>
      <c r="F62" s="13" t="s">
        <v>21</v>
      </c>
      <c r="G62" s="331" t="s">
        <v>102</v>
      </c>
      <c r="H62" s="31"/>
      <c r="I62" s="341"/>
      <c r="J62" s="5"/>
      <c r="K62" s="5"/>
      <c r="L62" s="5"/>
      <c r="M62" s="5"/>
      <c r="N62" s="5"/>
      <c r="O62" s="304"/>
    </row>
    <row r="63" spans="1:15" ht="38.25" customHeight="1" thickBot="1" x14ac:dyDescent="0.3">
      <c r="A63" s="183">
        <f t="shared" si="2"/>
        <v>55</v>
      </c>
      <c r="B63" s="547"/>
      <c r="C63" s="328" t="s">
        <v>110</v>
      </c>
      <c r="D63" s="69" t="s">
        <v>111</v>
      </c>
      <c r="E63" s="348"/>
      <c r="F63" s="31"/>
      <c r="G63" s="332">
        <v>46077</v>
      </c>
      <c r="H63" s="31"/>
      <c r="I63" s="341"/>
      <c r="J63" s="5"/>
      <c r="K63" s="5"/>
      <c r="L63" s="5"/>
      <c r="M63" s="5"/>
      <c r="N63" s="5"/>
      <c r="O63" s="304"/>
    </row>
    <row r="64" spans="1:15" ht="19.5" customHeight="1" thickBot="1" x14ac:dyDescent="0.3">
      <c r="A64" s="183">
        <f t="shared" si="2"/>
        <v>56</v>
      </c>
      <c r="B64" s="547"/>
      <c r="C64" s="328" t="s">
        <v>77</v>
      </c>
      <c r="D64" s="69" t="s">
        <v>112</v>
      </c>
      <c r="E64" s="348"/>
      <c r="F64" s="13"/>
      <c r="G64" s="332">
        <v>46083</v>
      </c>
      <c r="H64" s="31"/>
      <c r="I64" s="341"/>
      <c r="J64" s="5"/>
      <c r="K64" s="5"/>
      <c r="L64" s="5"/>
      <c r="M64" s="5"/>
      <c r="N64" s="5"/>
      <c r="O64" s="304"/>
    </row>
    <row r="65" spans="1:15" ht="20.25" customHeight="1" thickBot="1" x14ac:dyDescent="0.3">
      <c r="A65" s="183">
        <f t="shared" si="2"/>
        <v>57</v>
      </c>
      <c r="B65" s="547"/>
      <c r="C65" s="555" t="s">
        <v>16</v>
      </c>
      <c r="D65" s="44" t="s">
        <v>113</v>
      </c>
      <c r="E65" s="333"/>
      <c r="F65" s="13" t="s">
        <v>21</v>
      </c>
      <c r="G65" s="556" t="s">
        <v>711</v>
      </c>
      <c r="H65" s="13"/>
      <c r="I65" s="341"/>
      <c r="J65" s="5"/>
      <c r="K65" s="5"/>
      <c r="L65" s="5"/>
      <c r="M65" s="5"/>
      <c r="N65" s="5"/>
      <c r="O65" s="304"/>
    </row>
    <row r="66" spans="1:15" ht="36.75" thickBot="1" x14ac:dyDescent="0.3">
      <c r="A66" s="183">
        <f t="shared" si="2"/>
        <v>58</v>
      </c>
      <c r="B66" s="547"/>
      <c r="C66" s="552"/>
      <c r="D66" s="44" t="s">
        <v>114</v>
      </c>
      <c r="E66" s="333"/>
      <c r="F66" s="13" t="s">
        <v>21</v>
      </c>
      <c r="G66" s="557"/>
      <c r="H66" s="13"/>
      <c r="I66" s="341"/>
      <c r="J66" s="5"/>
      <c r="K66" s="5"/>
      <c r="L66" s="5"/>
      <c r="M66" s="5"/>
      <c r="N66" s="5"/>
      <c r="O66" s="304"/>
    </row>
    <row r="67" spans="1:15" ht="53.25" customHeight="1" thickBot="1" x14ac:dyDescent="0.3">
      <c r="A67" s="183">
        <f t="shared" si="2"/>
        <v>59</v>
      </c>
      <c r="B67" s="547"/>
      <c r="C67" s="552"/>
      <c r="D67" s="44" t="s">
        <v>115</v>
      </c>
      <c r="E67" s="333"/>
      <c r="F67" s="13" t="s">
        <v>21</v>
      </c>
      <c r="G67" s="557"/>
      <c r="H67" s="13"/>
      <c r="I67" s="341"/>
      <c r="J67" s="5"/>
      <c r="K67" s="5"/>
      <c r="L67" s="5"/>
      <c r="M67" s="5"/>
      <c r="N67" s="5"/>
      <c r="O67" s="304"/>
    </row>
    <row r="68" spans="1:15" ht="63.75" customHeight="1" thickBot="1" x14ac:dyDescent="0.3">
      <c r="A68" s="183">
        <f t="shared" si="2"/>
        <v>60</v>
      </c>
      <c r="B68" s="547"/>
      <c r="C68" s="552"/>
      <c r="D68" s="44" t="s">
        <v>116</v>
      </c>
      <c r="E68" s="333"/>
      <c r="F68" s="13" t="s">
        <v>21</v>
      </c>
      <c r="G68" s="557"/>
      <c r="H68" s="13"/>
      <c r="I68" s="341"/>
      <c r="J68" s="5"/>
      <c r="K68" s="5"/>
      <c r="L68" s="5"/>
      <c r="M68" s="5"/>
      <c r="N68" s="5"/>
      <c r="O68" s="304"/>
    </row>
    <row r="69" spans="1:15" ht="25.5" customHeight="1" thickBot="1" x14ac:dyDescent="0.3">
      <c r="A69" s="183">
        <f t="shared" si="2"/>
        <v>61</v>
      </c>
      <c r="B69" s="547"/>
      <c r="C69" s="552"/>
      <c r="D69" s="44" t="s">
        <v>117</v>
      </c>
      <c r="E69" s="333"/>
      <c r="F69" s="13" t="s">
        <v>21</v>
      </c>
      <c r="G69" s="557"/>
      <c r="H69" s="13"/>
      <c r="I69" s="341"/>
      <c r="J69" s="5"/>
      <c r="K69" s="5"/>
      <c r="L69" s="5"/>
      <c r="M69" s="5"/>
      <c r="N69" s="5"/>
      <c r="O69" s="304"/>
    </row>
    <row r="70" spans="1:15" ht="25.5" customHeight="1" thickBot="1" x14ac:dyDescent="0.3">
      <c r="A70" s="183">
        <f t="shared" si="2"/>
        <v>62</v>
      </c>
      <c r="B70" s="547"/>
      <c r="C70" s="552"/>
      <c r="D70" s="342" t="s">
        <v>118</v>
      </c>
      <c r="E70" s="79"/>
      <c r="F70" s="13" t="s">
        <v>21</v>
      </c>
      <c r="G70" s="557"/>
      <c r="H70" s="13"/>
      <c r="I70" s="339"/>
      <c r="J70" s="5"/>
      <c r="K70" s="5"/>
      <c r="L70" s="5"/>
      <c r="M70" s="5"/>
      <c r="N70" s="5"/>
      <c r="O70" s="304"/>
    </row>
    <row r="71" spans="1:15" ht="25.5" customHeight="1" thickBot="1" x14ac:dyDescent="0.3">
      <c r="A71" s="183">
        <f t="shared" si="2"/>
        <v>63</v>
      </c>
      <c r="B71" s="547"/>
      <c r="C71" s="552"/>
      <c r="D71" s="342" t="s">
        <v>119</v>
      </c>
      <c r="E71" s="343"/>
      <c r="F71" s="13" t="s">
        <v>21</v>
      </c>
      <c r="G71" s="558"/>
      <c r="H71" s="13"/>
      <c r="I71" s="339"/>
      <c r="J71" s="5"/>
      <c r="K71" s="5"/>
      <c r="L71" s="5"/>
      <c r="M71" s="5"/>
      <c r="N71" s="5"/>
      <c r="O71" s="304"/>
    </row>
    <row r="72" spans="1:15" ht="25.5" customHeight="1" x14ac:dyDescent="0.25">
      <c r="A72" s="570">
        <f t="shared" si="2"/>
        <v>64</v>
      </c>
      <c r="B72" s="567"/>
      <c r="C72" s="82" t="s">
        <v>110</v>
      </c>
      <c r="D72" s="83" t="s">
        <v>120</v>
      </c>
      <c r="E72" s="357"/>
      <c r="F72" s="13"/>
      <c r="G72" s="332">
        <v>46077</v>
      </c>
      <c r="H72" s="13"/>
      <c r="I72" s="339"/>
      <c r="J72" s="5"/>
      <c r="K72" s="5"/>
      <c r="L72" s="5"/>
      <c r="M72" s="5"/>
      <c r="N72" s="5"/>
      <c r="O72" s="304"/>
    </row>
    <row r="73" spans="1:15" ht="25.5" customHeight="1" thickBot="1" x14ac:dyDescent="0.3">
      <c r="A73" s="571"/>
      <c r="B73" s="567"/>
      <c r="C73" s="358" t="s">
        <v>100</v>
      </c>
      <c r="D73" s="83" t="s">
        <v>121</v>
      </c>
      <c r="E73" s="357"/>
      <c r="F73" s="31"/>
      <c r="G73" s="332"/>
      <c r="H73" s="13"/>
      <c r="I73" s="339"/>
      <c r="J73" s="5"/>
      <c r="K73" s="5"/>
      <c r="L73" s="5"/>
      <c r="M73" s="5"/>
      <c r="N73" s="5"/>
      <c r="O73" s="304"/>
    </row>
    <row r="74" spans="1:15" ht="25.5" customHeight="1" thickBot="1" x14ac:dyDescent="0.3">
      <c r="A74" s="183">
        <f>A72+1</f>
        <v>65</v>
      </c>
      <c r="B74" s="547"/>
      <c r="C74" s="359" t="s">
        <v>122</v>
      </c>
      <c r="D74" s="360" t="s">
        <v>123</v>
      </c>
      <c r="E74" s="357"/>
      <c r="F74" s="31"/>
      <c r="G74" s="331" t="s">
        <v>124</v>
      </c>
      <c r="H74" s="31"/>
      <c r="I74" s="339"/>
      <c r="J74" s="5"/>
      <c r="K74" s="5"/>
      <c r="L74" s="5"/>
      <c r="M74" s="5"/>
      <c r="N74" s="5"/>
      <c r="O74" s="304"/>
    </row>
    <row r="75" spans="1:15" ht="21" customHeight="1" thickBot="1" x14ac:dyDescent="0.3">
      <c r="A75" s="183">
        <f t="shared" si="2"/>
        <v>66</v>
      </c>
      <c r="B75" s="549"/>
      <c r="C75" s="85" t="s">
        <v>79</v>
      </c>
      <c r="D75" s="86" t="s">
        <v>80</v>
      </c>
      <c r="E75" s="87"/>
      <c r="F75" s="66" t="s">
        <v>81</v>
      </c>
      <c r="G75" s="170"/>
      <c r="H75" s="66" t="s">
        <v>14</v>
      </c>
      <c r="I75" s="352"/>
      <c r="J75" s="353"/>
      <c r="K75" s="11"/>
      <c r="L75" s="353"/>
      <c r="M75" s="11"/>
      <c r="N75" s="353"/>
      <c r="O75" s="306" t="s">
        <v>15</v>
      </c>
    </row>
    <row r="76" spans="1:15" ht="24.75" thickBot="1" x14ac:dyDescent="0.3">
      <c r="A76" s="183">
        <f t="shared" si="2"/>
        <v>67</v>
      </c>
      <c r="B76" s="550" t="s">
        <v>125</v>
      </c>
      <c r="C76" s="568" t="s">
        <v>58</v>
      </c>
      <c r="D76" s="62" t="s">
        <v>126</v>
      </c>
      <c r="E76" s="63"/>
      <c r="F76" s="331"/>
      <c r="G76" s="562" t="s">
        <v>124</v>
      </c>
      <c r="H76" s="331"/>
      <c r="I76" s="341"/>
      <c r="J76" s="5"/>
      <c r="K76" s="5"/>
      <c r="L76" s="5"/>
      <c r="M76" s="5"/>
      <c r="N76" s="5"/>
      <c r="O76" s="304"/>
    </row>
    <row r="77" spans="1:15" ht="22.5" customHeight="1" thickBot="1" x14ac:dyDescent="0.3">
      <c r="A77" s="183">
        <f t="shared" si="2"/>
        <v>68</v>
      </c>
      <c r="B77" s="547"/>
      <c r="C77" s="561"/>
      <c r="D77" s="69" t="s">
        <v>127</v>
      </c>
      <c r="E77" s="348"/>
      <c r="F77" s="31"/>
      <c r="G77" s="563"/>
      <c r="H77" s="13"/>
      <c r="I77" s="341"/>
      <c r="J77" s="5"/>
      <c r="K77" s="5"/>
      <c r="L77" s="5"/>
      <c r="M77" s="5"/>
      <c r="N77" s="5"/>
      <c r="O77" s="304"/>
    </row>
    <row r="78" spans="1:15" ht="15.75" thickBot="1" x14ac:dyDescent="0.3">
      <c r="A78" s="183">
        <f t="shared" si="2"/>
        <v>69</v>
      </c>
      <c r="B78" s="547"/>
      <c r="C78" s="322" t="s">
        <v>128</v>
      </c>
      <c r="D78" s="44" t="s">
        <v>129</v>
      </c>
      <c r="E78" s="333"/>
      <c r="F78" s="13" t="s">
        <v>21</v>
      </c>
      <c r="G78" s="332">
        <v>46081</v>
      </c>
      <c r="H78" s="13"/>
      <c r="I78" s="341"/>
      <c r="J78" s="5"/>
      <c r="K78" s="5"/>
      <c r="L78" s="5"/>
      <c r="M78" s="5"/>
      <c r="N78" s="5"/>
      <c r="O78" s="304"/>
    </row>
    <row r="79" spans="1:15" ht="24.75" thickBot="1" x14ac:dyDescent="0.3">
      <c r="A79" s="183">
        <f t="shared" si="2"/>
        <v>70</v>
      </c>
      <c r="B79" s="547"/>
      <c r="C79" s="559" t="s">
        <v>58</v>
      </c>
      <c r="D79" s="69" t="s">
        <v>130</v>
      </c>
      <c r="E79" s="348"/>
      <c r="F79" s="31"/>
      <c r="G79" s="562" t="s">
        <v>124</v>
      </c>
      <c r="H79" s="13"/>
      <c r="I79" s="341"/>
      <c r="J79" s="5"/>
      <c r="K79" s="5"/>
      <c r="L79" s="5"/>
      <c r="M79" s="5"/>
      <c r="N79" s="5"/>
      <c r="O79" s="304"/>
    </row>
    <row r="80" spans="1:15" ht="15.75" thickBot="1" x14ac:dyDescent="0.3">
      <c r="A80" s="183">
        <f t="shared" si="2"/>
        <v>71</v>
      </c>
      <c r="B80" s="547"/>
      <c r="C80" s="560"/>
      <c r="D80" s="69" t="s">
        <v>131</v>
      </c>
      <c r="E80" s="348"/>
      <c r="F80" s="31"/>
      <c r="G80" s="562"/>
      <c r="H80" s="31"/>
      <c r="I80" s="54"/>
      <c r="J80" s="5"/>
      <c r="K80" s="5"/>
      <c r="L80" s="5"/>
      <c r="M80" s="5"/>
      <c r="N80" s="5"/>
      <c r="O80" s="304"/>
    </row>
    <row r="81" spans="1:15" ht="39" customHeight="1" thickBot="1" x14ac:dyDescent="0.3">
      <c r="A81" s="183">
        <f t="shared" ref="A81:A101" si="3">A80+1</f>
        <v>72</v>
      </c>
      <c r="B81" s="547"/>
      <c r="C81" s="560"/>
      <c r="D81" s="360" t="s">
        <v>132</v>
      </c>
      <c r="E81" s="32"/>
      <c r="F81" s="31"/>
      <c r="G81" s="562"/>
      <c r="H81" s="356"/>
      <c r="I81" s="54"/>
      <c r="J81" s="5"/>
      <c r="K81" s="5"/>
      <c r="L81" s="5"/>
      <c r="M81" s="5"/>
      <c r="N81" s="5"/>
      <c r="O81" s="304"/>
    </row>
    <row r="82" spans="1:15" ht="15.75" thickBot="1" x14ac:dyDescent="0.3">
      <c r="A82" s="183">
        <f t="shared" si="3"/>
        <v>73</v>
      </c>
      <c r="B82" s="547"/>
      <c r="C82" s="560"/>
      <c r="D82" s="360" t="s">
        <v>133</v>
      </c>
      <c r="E82" s="32"/>
      <c r="F82" s="31"/>
      <c r="G82" s="563"/>
      <c r="H82" s="356"/>
      <c r="I82" s="54"/>
      <c r="J82" s="5"/>
      <c r="K82" s="5"/>
      <c r="L82" s="5"/>
      <c r="M82" s="5"/>
      <c r="N82" s="5"/>
      <c r="O82" s="304"/>
    </row>
    <row r="83" spans="1:15" ht="29.25" customHeight="1" thickBot="1" x14ac:dyDescent="0.3">
      <c r="A83" s="183">
        <f t="shared" si="3"/>
        <v>74</v>
      </c>
      <c r="B83" s="547"/>
      <c r="C83" s="88" t="s">
        <v>134</v>
      </c>
      <c r="D83" s="360" t="s">
        <v>135</v>
      </c>
      <c r="E83" s="32"/>
      <c r="F83" s="31"/>
      <c r="G83" s="68"/>
      <c r="H83" s="356"/>
      <c r="I83" s="54"/>
      <c r="J83" s="5"/>
      <c r="K83" s="5"/>
      <c r="L83" s="5"/>
      <c r="M83" s="5"/>
      <c r="N83" s="5"/>
      <c r="O83" s="304"/>
    </row>
    <row r="84" spans="1:15" ht="21.75" customHeight="1" thickBot="1" x14ac:dyDescent="0.3">
      <c r="A84" s="183">
        <f t="shared" si="3"/>
        <v>75</v>
      </c>
      <c r="B84" s="547"/>
      <c r="C84" s="68" t="s">
        <v>58</v>
      </c>
      <c r="D84" s="360" t="s">
        <v>136</v>
      </c>
      <c r="E84" s="32"/>
      <c r="F84" s="31"/>
      <c r="G84" s="331" t="s">
        <v>124</v>
      </c>
      <c r="H84" s="356"/>
      <c r="I84" s="54"/>
      <c r="J84" s="5"/>
      <c r="K84" s="5"/>
      <c r="L84" s="5"/>
      <c r="M84" s="5"/>
      <c r="N84" s="5"/>
      <c r="O84" s="304"/>
    </row>
    <row r="85" spans="1:15" ht="21.75" customHeight="1" thickBot="1" x14ac:dyDescent="0.3">
      <c r="A85" s="183">
        <f t="shared" si="3"/>
        <v>76</v>
      </c>
      <c r="B85" s="547"/>
      <c r="C85" s="68" t="s">
        <v>110</v>
      </c>
      <c r="D85" s="360" t="s">
        <v>137</v>
      </c>
      <c r="E85" s="32"/>
      <c r="F85" s="31"/>
      <c r="G85" s="89">
        <v>46077</v>
      </c>
      <c r="H85" s="356"/>
      <c r="I85" s="54"/>
      <c r="J85" s="5"/>
      <c r="K85" s="5"/>
      <c r="L85" s="5"/>
      <c r="M85" s="5"/>
      <c r="N85" s="5"/>
      <c r="O85" s="304"/>
    </row>
    <row r="86" spans="1:15" ht="21.75" customHeight="1" thickBot="1" x14ac:dyDescent="0.3">
      <c r="A86" s="183">
        <f t="shared" si="3"/>
        <v>77</v>
      </c>
      <c r="B86" s="547"/>
      <c r="C86" s="66" t="s">
        <v>79</v>
      </c>
      <c r="D86" s="361" t="s">
        <v>138</v>
      </c>
      <c r="E86" s="46"/>
      <c r="F86" s="351" t="s">
        <v>81</v>
      </c>
      <c r="G86" s="170"/>
      <c r="H86" s="66" t="s">
        <v>14</v>
      </c>
      <c r="I86" s="352"/>
      <c r="J86" s="362"/>
      <c r="K86" s="353"/>
      <c r="L86" s="362"/>
      <c r="M86" s="353"/>
      <c r="N86" s="362"/>
      <c r="O86" s="306" t="s">
        <v>15</v>
      </c>
    </row>
    <row r="87" spans="1:15" ht="21.75" customHeight="1" thickBot="1" x14ac:dyDescent="0.3">
      <c r="A87" s="183">
        <f t="shared" si="3"/>
        <v>78</v>
      </c>
      <c r="B87" s="547"/>
      <c r="C87" s="68" t="s">
        <v>100</v>
      </c>
      <c r="D87" s="360" t="s">
        <v>139</v>
      </c>
      <c r="E87" s="90"/>
      <c r="F87" s="68"/>
      <c r="G87" s="68"/>
      <c r="H87" s="356"/>
      <c r="I87" s="54"/>
      <c r="J87" s="5"/>
      <c r="K87" s="5"/>
      <c r="L87" s="5"/>
      <c r="M87" s="5"/>
      <c r="N87" s="5"/>
      <c r="O87" s="304"/>
    </row>
    <row r="88" spans="1:15" ht="24.75" thickBot="1" x14ac:dyDescent="0.3">
      <c r="A88" s="183">
        <f t="shared" si="3"/>
        <v>79</v>
      </c>
      <c r="B88" s="549"/>
      <c r="C88" s="34" t="s">
        <v>140</v>
      </c>
      <c r="D88" s="91" t="s">
        <v>141</v>
      </c>
      <c r="E88" s="79"/>
      <c r="F88" s="363"/>
      <c r="G88" s="92"/>
      <c r="H88" s="364"/>
      <c r="I88" s="93"/>
      <c r="J88" s="5"/>
      <c r="K88" s="5"/>
      <c r="L88" s="5"/>
      <c r="M88" s="5"/>
      <c r="N88" s="5"/>
      <c r="O88" s="304"/>
    </row>
    <row r="89" spans="1:15" ht="24.75" thickBot="1" x14ac:dyDescent="0.3">
      <c r="A89" s="183">
        <f t="shared" si="3"/>
        <v>80</v>
      </c>
      <c r="B89" s="550" t="s">
        <v>142</v>
      </c>
      <c r="C89" s="25" t="s">
        <v>77</v>
      </c>
      <c r="D89" s="94" t="s">
        <v>143</v>
      </c>
      <c r="E89" s="337"/>
      <c r="F89" s="25" t="s">
        <v>36</v>
      </c>
      <c r="G89" s="99"/>
      <c r="H89" s="95" t="s">
        <v>144</v>
      </c>
      <c r="I89" s="54"/>
      <c r="J89" s="5"/>
      <c r="K89" s="5"/>
      <c r="L89" s="5"/>
      <c r="M89" s="5"/>
      <c r="N89" s="5"/>
      <c r="O89" s="304"/>
    </row>
    <row r="90" spans="1:15" ht="15.75" thickBot="1" x14ac:dyDescent="0.3">
      <c r="A90" s="183">
        <f t="shared" si="3"/>
        <v>81</v>
      </c>
      <c r="B90" s="549"/>
      <c r="C90" s="96" t="s">
        <v>79</v>
      </c>
      <c r="D90" s="97" t="s">
        <v>80</v>
      </c>
      <c r="E90" s="87"/>
      <c r="F90" s="66" t="s">
        <v>81</v>
      </c>
      <c r="G90" s="170"/>
      <c r="H90" s="66" t="s">
        <v>14</v>
      </c>
      <c r="I90" s="352"/>
      <c r="J90" s="362"/>
      <c r="K90" s="353"/>
      <c r="L90" s="362"/>
      <c r="M90" s="353"/>
      <c r="N90" s="362"/>
      <c r="O90" s="306" t="s">
        <v>15</v>
      </c>
    </row>
    <row r="91" spans="1:15" ht="24.75" thickBot="1" x14ac:dyDescent="0.3">
      <c r="A91" s="183">
        <f t="shared" si="3"/>
        <v>82</v>
      </c>
      <c r="B91" s="550" t="s">
        <v>145</v>
      </c>
      <c r="C91" s="172" t="s">
        <v>146</v>
      </c>
      <c r="D91" s="365" t="s">
        <v>147</v>
      </c>
      <c r="E91" s="337"/>
      <c r="F91" s="99" t="s">
        <v>148</v>
      </c>
      <c r="G91" s="99" t="s">
        <v>149</v>
      </c>
      <c r="H91" s="99" t="s">
        <v>150</v>
      </c>
      <c r="I91" s="341"/>
      <c r="J91" s="5"/>
      <c r="K91" s="5"/>
      <c r="L91" s="5"/>
      <c r="M91" s="5"/>
      <c r="N91" s="5"/>
      <c r="O91" s="304"/>
    </row>
    <row r="92" spans="1:15" ht="15.75" thickBot="1" x14ac:dyDescent="0.3">
      <c r="A92" s="183">
        <f t="shared" si="3"/>
        <v>83</v>
      </c>
      <c r="B92" s="548"/>
      <c r="C92" s="555" t="s">
        <v>45</v>
      </c>
      <c r="D92" s="44" t="s">
        <v>151</v>
      </c>
      <c r="E92" s="348"/>
      <c r="F92" s="31"/>
      <c r="G92" s="557">
        <v>46084</v>
      </c>
      <c r="H92" s="31"/>
      <c r="I92" s="341"/>
      <c r="J92" s="5"/>
      <c r="K92" s="5"/>
      <c r="L92" s="5"/>
      <c r="M92" s="5"/>
      <c r="N92" s="5"/>
      <c r="O92" s="304"/>
    </row>
    <row r="93" spans="1:15" ht="24.75" thickBot="1" x14ac:dyDescent="0.3">
      <c r="A93" s="183">
        <f t="shared" si="3"/>
        <v>84</v>
      </c>
      <c r="B93" s="547"/>
      <c r="C93" s="552"/>
      <c r="D93" s="44" t="s">
        <v>152</v>
      </c>
      <c r="E93" s="348"/>
      <c r="F93" s="31"/>
      <c r="G93" s="557"/>
      <c r="H93" s="31"/>
      <c r="I93" s="341"/>
      <c r="J93" s="5"/>
      <c r="K93" s="5"/>
      <c r="L93" s="5"/>
      <c r="M93" s="5"/>
      <c r="N93" s="5"/>
      <c r="O93" s="304"/>
    </row>
    <row r="94" spans="1:15" ht="15.75" thickBot="1" x14ac:dyDescent="0.3">
      <c r="A94" s="183">
        <f t="shared" si="3"/>
        <v>85</v>
      </c>
      <c r="B94" s="547"/>
      <c r="C94" s="552"/>
      <c r="D94" s="44" t="s">
        <v>153</v>
      </c>
      <c r="E94" s="348"/>
      <c r="F94" s="31"/>
      <c r="G94" s="557"/>
      <c r="H94" s="31"/>
      <c r="I94" s="341"/>
      <c r="J94" s="5"/>
      <c r="K94" s="5"/>
      <c r="L94" s="5"/>
      <c r="M94" s="5"/>
      <c r="N94" s="5"/>
      <c r="O94" s="304"/>
    </row>
    <row r="95" spans="1:15" ht="24.75" thickBot="1" x14ac:dyDescent="0.3">
      <c r="A95" s="183">
        <f t="shared" si="3"/>
        <v>86</v>
      </c>
      <c r="B95" s="547"/>
      <c r="C95" s="552"/>
      <c r="D95" s="44" t="s">
        <v>154</v>
      </c>
      <c r="E95" s="348"/>
      <c r="F95" s="31"/>
      <c r="G95" s="557"/>
      <c r="H95" s="31"/>
      <c r="I95" s="341"/>
      <c r="J95" s="5"/>
      <c r="K95" s="5"/>
      <c r="L95" s="5"/>
      <c r="M95" s="5"/>
      <c r="N95" s="5"/>
      <c r="O95" s="304"/>
    </row>
    <row r="96" spans="1:15" ht="15.75" thickBot="1" x14ac:dyDescent="0.3">
      <c r="A96" s="183">
        <f t="shared" si="3"/>
        <v>87</v>
      </c>
      <c r="B96" s="547"/>
      <c r="C96" s="552"/>
      <c r="D96" s="44" t="s">
        <v>155</v>
      </c>
      <c r="E96" s="348"/>
      <c r="F96" s="31"/>
      <c r="G96" s="557"/>
      <c r="H96" s="31"/>
      <c r="I96" s="54"/>
      <c r="J96" s="5"/>
      <c r="K96" s="5"/>
      <c r="L96" s="5"/>
      <c r="M96" s="5"/>
      <c r="N96" s="5"/>
      <c r="O96" s="304"/>
    </row>
    <row r="97" spans="1:15" ht="15.75" thickBot="1" x14ac:dyDescent="0.3">
      <c r="A97" s="183">
        <f t="shared" si="3"/>
        <v>88</v>
      </c>
      <c r="B97" s="547"/>
      <c r="C97" s="552"/>
      <c r="D97" s="44" t="s">
        <v>156</v>
      </c>
      <c r="E97" s="348"/>
      <c r="F97" s="31"/>
      <c r="G97" s="557"/>
      <c r="H97" s="31"/>
      <c r="I97" s="341"/>
      <c r="J97" s="5"/>
      <c r="K97" s="5"/>
      <c r="L97" s="5"/>
      <c r="M97" s="5"/>
      <c r="N97" s="5"/>
      <c r="O97" s="304"/>
    </row>
    <row r="98" spans="1:15" ht="15.75" thickBot="1" x14ac:dyDescent="0.3">
      <c r="A98" s="183">
        <f t="shared" si="3"/>
        <v>89</v>
      </c>
      <c r="B98" s="547"/>
      <c r="C98" s="552"/>
      <c r="D98" s="44" t="s">
        <v>157</v>
      </c>
      <c r="E98" s="348"/>
      <c r="F98" s="31"/>
      <c r="G98" s="557"/>
      <c r="H98" s="31"/>
      <c r="I98" s="341"/>
      <c r="J98" s="5"/>
      <c r="K98" s="5"/>
      <c r="L98" s="5"/>
      <c r="M98" s="5"/>
      <c r="N98" s="5"/>
      <c r="O98" s="304"/>
    </row>
    <row r="99" spans="1:15" ht="15.75" thickBot="1" x14ac:dyDescent="0.3">
      <c r="A99" s="183">
        <f t="shared" si="3"/>
        <v>90</v>
      </c>
      <c r="B99" s="547"/>
      <c r="C99" s="552"/>
      <c r="D99" s="44" t="s">
        <v>158</v>
      </c>
      <c r="E99" s="348"/>
      <c r="F99" s="31"/>
      <c r="G99" s="557"/>
      <c r="H99" s="31"/>
      <c r="I99" s="341"/>
      <c r="J99" s="5"/>
      <c r="K99" s="5"/>
      <c r="L99" s="5"/>
      <c r="M99" s="5"/>
      <c r="N99" s="5"/>
      <c r="O99" s="304"/>
    </row>
    <row r="100" spans="1:15" ht="15.75" thickBot="1" x14ac:dyDescent="0.3">
      <c r="A100" s="183">
        <f t="shared" si="3"/>
        <v>91</v>
      </c>
      <c r="B100" s="547"/>
      <c r="C100" s="552"/>
      <c r="D100" s="44" t="s">
        <v>159</v>
      </c>
      <c r="E100" s="348"/>
      <c r="F100" s="31"/>
      <c r="G100" s="557"/>
      <c r="H100" s="31"/>
      <c r="I100" s="341"/>
      <c r="J100" s="5"/>
      <c r="K100" s="5"/>
      <c r="L100" s="5"/>
      <c r="M100" s="5"/>
      <c r="N100" s="5"/>
      <c r="O100" s="304"/>
    </row>
    <row r="101" spans="1:15" ht="15.75" thickBot="1" x14ac:dyDescent="0.3">
      <c r="A101" s="183">
        <f t="shared" si="3"/>
        <v>92</v>
      </c>
      <c r="B101" s="547"/>
      <c r="C101" s="553"/>
      <c r="D101" s="44" t="s">
        <v>160</v>
      </c>
      <c r="E101" s="348"/>
      <c r="F101" s="31"/>
      <c r="G101" s="558"/>
      <c r="H101" s="31"/>
      <c r="I101" s="341"/>
      <c r="J101" s="5"/>
      <c r="K101" s="5"/>
      <c r="L101" s="5"/>
      <c r="M101" s="5"/>
      <c r="N101" s="5"/>
      <c r="O101" s="304"/>
    </row>
    <row r="102" spans="1:15" ht="36.75" thickBot="1" x14ac:dyDescent="0.3">
      <c r="A102" s="183">
        <f t="shared" ref="A102:A137" si="4">A101+1</f>
        <v>93</v>
      </c>
      <c r="B102" s="547"/>
      <c r="C102" s="308" t="s">
        <v>161</v>
      </c>
      <c r="D102" s="67" t="s">
        <v>162</v>
      </c>
      <c r="E102" s="346"/>
      <c r="F102" s="169" t="s">
        <v>81</v>
      </c>
      <c r="G102" s="170"/>
      <c r="H102" s="351" t="s">
        <v>14</v>
      </c>
      <c r="I102" s="352"/>
      <c r="J102" s="362"/>
      <c r="K102" s="362"/>
      <c r="L102" s="362"/>
      <c r="M102" s="362"/>
      <c r="N102" s="362"/>
      <c r="O102" s="306" t="s">
        <v>15</v>
      </c>
    </row>
    <row r="103" spans="1:15" ht="15.75" thickBot="1" x14ac:dyDescent="0.3">
      <c r="A103" s="183">
        <f t="shared" si="4"/>
        <v>94</v>
      </c>
      <c r="B103" s="547"/>
      <c r="C103" s="580" t="s">
        <v>88</v>
      </c>
      <c r="D103" s="52" t="s">
        <v>163</v>
      </c>
      <c r="E103" s="337"/>
      <c r="F103" s="572" t="s">
        <v>36</v>
      </c>
      <c r="G103" s="99"/>
      <c r="H103" s="582" t="s">
        <v>91</v>
      </c>
      <c r="I103" s="341"/>
      <c r="J103" s="5"/>
      <c r="K103" s="5"/>
      <c r="L103" s="5"/>
      <c r="M103" s="5"/>
      <c r="N103" s="5"/>
      <c r="O103" s="304"/>
    </row>
    <row r="104" spans="1:15" ht="15.75" thickBot="1" x14ac:dyDescent="0.3">
      <c r="A104" s="183">
        <f t="shared" si="4"/>
        <v>95</v>
      </c>
      <c r="B104" s="547"/>
      <c r="C104" s="566"/>
      <c r="D104" s="52" t="s">
        <v>164</v>
      </c>
      <c r="E104" s="337"/>
      <c r="F104" s="581"/>
      <c r="G104" s="99"/>
      <c r="H104" s="581"/>
      <c r="I104" s="341"/>
      <c r="J104" s="5"/>
      <c r="K104" s="5"/>
      <c r="L104" s="5"/>
      <c r="M104" s="5"/>
      <c r="N104" s="5"/>
      <c r="O104" s="304"/>
    </row>
    <row r="105" spans="1:15" ht="24.75" thickBot="1" x14ac:dyDescent="0.3">
      <c r="A105" s="183">
        <f t="shared" si="4"/>
        <v>96</v>
      </c>
      <c r="B105" s="547"/>
      <c r="C105" s="171" t="s">
        <v>165</v>
      </c>
      <c r="D105" s="366" t="s">
        <v>166</v>
      </c>
      <c r="E105" s="28"/>
      <c r="F105" s="29" t="s">
        <v>167</v>
      </c>
      <c r="G105" s="29" t="s">
        <v>168</v>
      </c>
      <c r="H105" s="29" t="s">
        <v>21</v>
      </c>
      <c r="I105" s="54"/>
      <c r="J105" s="5"/>
      <c r="K105" s="5"/>
      <c r="L105" s="5"/>
      <c r="M105" s="5"/>
      <c r="N105" s="5"/>
      <c r="O105" s="304"/>
    </row>
    <row r="106" spans="1:15" ht="24.75" thickBot="1" x14ac:dyDescent="0.3">
      <c r="A106" s="183">
        <f t="shared" si="4"/>
        <v>97</v>
      </c>
      <c r="B106" s="547"/>
      <c r="C106" s="31" t="s">
        <v>169</v>
      </c>
      <c r="D106" s="69" t="s">
        <v>170</v>
      </c>
      <c r="E106" s="100"/>
      <c r="F106" s="31" t="s">
        <v>21</v>
      </c>
      <c r="G106" s="31" t="s">
        <v>171</v>
      </c>
      <c r="H106" s="31"/>
      <c r="I106" s="54"/>
      <c r="J106" s="5"/>
      <c r="K106" s="5"/>
      <c r="L106" s="5"/>
      <c r="M106" s="5"/>
      <c r="N106" s="5"/>
      <c r="O106" s="304"/>
    </row>
    <row r="107" spans="1:15" ht="24.75" thickBot="1" x14ac:dyDescent="0.3">
      <c r="A107" s="183">
        <f t="shared" si="4"/>
        <v>98</v>
      </c>
      <c r="B107" s="549"/>
      <c r="C107" s="20" t="s">
        <v>172</v>
      </c>
      <c r="D107" s="101" t="s">
        <v>173</v>
      </c>
      <c r="E107" s="71"/>
      <c r="F107" s="31" t="s">
        <v>21</v>
      </c>
      <c r="G107" s="73" t="s">
        <v>171</v>
      </c>
      <c r="H107" s="73"/>
      <c r="I107" s="74"/>
      <c r="J107" s="5"/>
      <c r="K107" s="5"/>
      <c r="L107" s="5"/>
      <c r="M107" s="5"/>
      <c r="N107" s="5"/>
      <c r="O107" s="304"/>
    </row>
    <row r="108" spans="1:15" ht="24" customHeight="1" thickBot="1" x14ac:dyDescent="0.3">
      <c r="A108" s="183">
        <f t="shared" si="4"/>
        <v>99</v>
      </c>
      <c r="B108" s="550" t="s">
        <v>174</v>
      </c>
      <c r="C108" s="568" t="s">
        <v>165</v>
      </c>
      <c r="D108" s="94" t="s">
        <v>175</v>
      </c>
      <c r="E108" s="77"/>
      <c r="F108" s="572" t="s">
        <v>703</v>
      </c>
      <c r="G108" s="367"/>
      <c r="H108" s="572" t="s">
        <v>91</v>
      </c>
      <c r="I108" s="65"/>
      <c r="J108" s="5"/>
      <c r="K108" s="5"/>
      <c r="L108" s="5"/>
      <c r="M108" s="5"/>
      <c r="N108" s="5"/>
      <c r="O108" s="304"/>
    </row>
    <row r="109" spans="1:15" ht="34.5" customHeight="1" thickBot="1" x14ac:dyDescent="0.3">
      <c r="A109" s="183">
        <f t="shared" si="4"/>
        <v>100</v>
      </c>
      <c r="B109" s="547"/>
      <c r="C109" s="560"/>
      <c r="D109" s="52" t="s">
        <v>176</v>
      </c>
      <c r="E109" s="102"/>
      <c r="F109" s="581"/>
      <c r="G109" s="368"/>
      <c r="H109" s="581"/>
      <c r="I109" s="26"/>
      <c r="J109" s="5"/>
      <c r="K109" s="5"/>
      <c r="L109" s="5"/>
      <c r="M109" s="5"/>
      <c r="N109" s="5"/>
      <c r="O109" s="304"/>
    </row>
    <row r="110" spans="1:15" ht="21" customHeight="1" thickBot="1" x14ac:dyDescent="0.3">
      <c r="A110" s="183">
        <f t="shared" si="4"/>
        <v>101</v>
      </c>
      <c r="B110" s="549"/>
      <c r="C110" s="574"/>
      <c r="D110" s="21" t="s">
        <v>177</v>
      </c>
      <c r="E110" s="22"/>
      <c r="F110" s="72" t="s">
        <v>21</v>
      </c>
      <c r="G110" s="38">
        <v>46077</v>
      </c>
      <c r="H110" s="72"/>
      <c r="I110" s="104"/>
      <c r="J110" s="5"/>
      <c r="K110" s="5"/>
      <c r="L110" s="5"/>
      <c r="M110" s="5"/>
      <c r="N110" s="5"/>
      <c r="O110" s="304"/>
    </row>
    <row r="111" spans="1:15" ht="15.75" thickBot="1" x14ac:dyDescent="0.3">
      <c r="A111" s="183">
        <f t="shared" si="4"/>
        <v>102</v>
      </c>
      <c r="B111" s="207" t="s">
        <v>178</v>
      </c>
      <c r="C111" s="105" t="s">
        <v>58</v>
      </c>
      <c r="D111" s="106" t="s">
        <v>179</v>
      </c>
      <c r="E111" s="107"/>
      <c r="F111" s="72" t="s">
        <v>21</v>
      </c>
      <c r="G111" s="108">
        <v>46073</v>
      </c>
      <c r="H111" s="59"/>
      <c r="I111" s="109"/>
      <c r="J111" s="5"/>
      <c r="K111" s="5"/>
      <c r="L111" s="5"/>
      <c r="M111" s="5"/>
      <c r="N111" s="5"/>
      <c r="O111" s="304"/>
    </row>
    <row r="112" spans="1:15" ht="15.75" thickBot="1" x14ac:dyDescent="0.3">
      <c r="A112" s="183">
        <f t="shared" si="4"/>
        <v>103</v>
      </c>
      <c r="B112" s="575" t="s">
        <v>180</v>
      </c>
      <c r="C112" s="568" t="s">
        <v>85</v>
      </c>
      <c r="D112" s="23" t="s">
        <v>181</v>
      </c>
      <c r="E112" s="24"/>
      <c r="F112" s="564" t="s">
        <v>21</v>
      </c>
      <c r="G112" s="572" t="s">
        <v>168</v>
      </c>
      <c r="H112" s="564" t="s">
        <v>21</v>
      </c>
      <c r="I112" s="369"/>
      <c r="J112" s="5"/>
      <c r="K112" s="5"/>
      <c r="L112" s="5"/>
      <c r="M112" s="5"/>
      <c r="N112" s="5"/>
      <c r="O112" s="304"/>
    </row>
    <row r="113" spans="1:15" ht="25.5" customHeight="1" thickBot="1" x14ac:dyDescent="0.3">
      <c r="A113" s="183">
        <f t="shared" si="4"/>
        <v>104</v>
      </c>
      <c r="B113" s="586"/>
      <c r="C113" s="574"/>
      <c r="D113" s="110" t="s">
        <v>182</v>
      </c>
      <c r="E113" s="111"/>
      <c r="F113" s="565"/>
      <c r="G113" s="573"/>
      <c r="H113" s="565"/>
      <c r="I113" s="112"/>
      <c r="J113" s="5"/>
      <c r="K113" s="5"/>
      <c r="L113" s="5"/>
      <c r="M113" s="5"/>
      <c r="N113" s="5"/>
      <c r="O113" s="304"/>
    </row>
    <row r="114" spans="1:15" ht="30.75" customHeight="1" thickBot="1" x14ac:dyDescent="0.3">
      <c r="A114" s="183">
        <f t="shared" si="4"/>
        <v>105</v>
      </c>
      <c r="B114" s="27" t="s">
        <v>183</v>
      </c>
      <c r="C114" s="568" t="s">
        <v>184</v>
      </c>
      <c r="D114" s="23" t="s">
        <v>185</v>
      </c>
      <c r="E114" s="24"/>
      <c r="F114" s="29" t="s">
        <v>167</v>
      </c>
      <c r="G114" s="24" t="s">
        <v>149</v>
      </c>
      <c r="H114" s="29" t="s">
        <v>21</v>
      </c>
      <c r="I114" s="113"/>
      <c r="J114" s="5"/>
      <c r="K114" s="5"/>
      <c r="L114" s="5"/>
      <c r="M114" s="5"/>
      <c r="N114" s="5"/>
      <c r="O114" s="304"/>
    </row>
    <row r="115" spans="1:15" ht="26.25" customHeight="1" thickBot="1" x14ac:dyDescent="0.3">
      <c r="A115" s="183">
        <f t="shared" si="4"/>
        <v>106</v>
      </c>
      <c r="B115" s="370" t="s">
        <v>186</v>
      </c>
      <c r="C115" s="574"/>
      <c r="D115" s="114" t="s">
        <v>187</v>
      </c>
      <c r="E115" s="115"/>
      <c r="F115" s="103" t="s">
        <v>21</v>
      </c>
      <c r="G115" s="115" t="s">
        <v>188</v>
      </c>
      <c r="H115" s="115"/>
      <c r="I115" s="116"/>
      <c r="J115" s="5"/>
      <c r="K115" s="5"/>
      <c r="L115" s="5"/>
      <c r="M115" s="5"/>
      <c r="N115" s="5"/>
      <c r="O115" s="304"/>
    </row>
    <row r="116" spans="1:15" ht="15.75" thickBot="1" x14ac:dyDescent="0.3">
      <c r="A116" s="183">
        <f t="shared" si="4"/>
        <v>107</v>
      </c>
      <c r="B116" s="575" t="s">
        <v>189</v>
      </c>
      <c r="C116" s="568" t="s">
        <v>184</v>
      </c>
      <c r="D116" s="117" t="s">
        <v>190</v>
      </c>
      <c r="E116" s="64"/>
      <c r="F116" s="64"/>
      <c r="G116" s="118">
        <v>46080</v>
      </c>
      <c r="H116" s="64"/>
      <c r="I116" s="43"/>
      <c r="J116" s="5"/>
      <c r="K116" s="5"/>
      <c r="L116" s="5"/>
      <c r="M116" s="5"/>
      <c r="N116" s="5"/>
      <c r="O116" s="304"/>
    </row>
    <row r="117" spans="1:15" ht="24.75" thickBot="1" x14ac:dyDescent="0.3">
      <c r="A117" s="183">
        <f t="shared" si="4"/>
        <v>108</v>
      </c>
      <c r="B117" s="576"/>
      <c r="C117" s="560"/>
      <c r="D117" s="119" t="s">
        <v>191</v>
      </c>
      <c r="E117" s="31"/>
      <c r="F117" s="31" t="s">
        <v>21</v>
      </c>
      <c r="G117" s="31" t="s">
        <v>192</v>
      </c>
      <c r="H117" s="31"/>
      <c r="I117" s="26"/>
      <c r="J117" s="5"/>
      <c r="K117" s="5"/>
      <c r="L117" s="5"/>
      <c r="M117" s="5"/>
      <c r="N117" s="5"/>
      <c r="O117" s="304"/>
    </row>
    <row r="118" spans="1:15" ht="24.75" thickBot="1" x14ac:dyDescent="0.3">
      <c r="A118" s="183">
        <f t="shared" si="4"/>
        <v>109</v>
      </c>
      <c r="B118" s="576"/>
      <c r="C118" s="560"/>
      <c r="D118" s="354" t="s">
        <v>193</v>
      </c>
      <c r="E118" s="328"/>
      <c r="F118" s="331"/>
      <c r="G118" s="331" t="s">
        <v>194</v>
      </c>
      <c r="H118" s="331"/>
      <c r="I118" s="341"/>
      <c r="J118" s="5"/>
      <c r="K118" s="5"/>
      <c r="L118" s="5"/>
      <c r="M118" s="5"/>
      <c r="N118" s="5"/>
      <c r="O118" s="304"/>
    </row>
    <row r="119" spans="1:15" ht="24.75" thickBot="1" x14ac:dyDescent="0.3">
      <c r="A119" s="183">
        <f t="shared" si="4"/>
        <v>110</v>
      </c>
      <c r="B119" s="576"/>
      <c r="C119" s="561"/>
      <c r="D119" s="69" t="s">
        <v>195</v>
      </c>
      <c r="E119" s="328"/>
      <c r="F119" s="31"/>
      <c r="G119" s="31" t="s">
        <v>196</v>
      </c>
      <c r="H119" s="31"/>
      <c r="I119" s="341"/>
      <c r="J119" s="5"/>
      <c r="K119" s="5"/>
      <c r="L119" s="5"/>
      <c r="M119" s="5"/>
      <c r="N119" s="5"/>
      <c r="O119" s="304"/>
    </row>
    <row r="120" spans="1:15" ht="15.75" thickBot="1" x14ac:dyDescent="0.3">
      <c r="A120" s="183">
        <f t="shared" si="4"/>
        <v>111</v>
      </c>
      <c r="B120" s="576"/>
      <c r="C120" s="577" t="s">
        <v>197</v>
      </c>
      <c r="D120" s="69" t="s">
        <v>198</v>
      </c>
      <c r="E120" s="328"/>
      <c r="F120" s="31"/>
      <c r="G120" s="332">
        <v>46081</v>
      </c>
      <c r="H120" s="31"/>
      <c r="I120" s="341"/>
      <c r="J120" s="5"/>
      <c r="K120" s="5"/>
      <c r="L120" s="5"/>
      <c r="M120" s="5"/>
      <c r="N120" s="5"/>
      <c r="O120" s="304"/>
    </row>
    <row r="121" spans="1:15" ht="15.75" thickBot="1" x14ac:dyDescent="0.3">
      <c r="A121" s="183">
        <f t="shared" si="4"/>
        <v>112</v>
      </c>
      <c r="B121" s="576"/>
      <c r="C121" s="578"/>
      <c r="D121" s="69" t="s">
        <v>199</v>
      </c>
      <c r="E121" s="328"/>
      <c r="F121" s="31"/>
      <c r="G121" s="332">
        <v>46081</v>
      </c>
      <c r="H121" s="31"/>
      <c r="I121" s="341"/>
      <c r="J121" s="5"/>
      <c r="K121" s="5"/>
      <c r="L121" s="5"/>
      <c r="M121" s="5"/>
      <c r="N121" s="5"/>
      <c r="O121" s="304"/>
    </row>
    <row r="122" spans="1:15" ht="15.75" thickBot="1" x14ac:dyDescent="0.3">
      <c r="A122" s="183">
        <f t="shared" si="4"/>
        <v>113</v>
      </c>
      <c r="B122" s="576"/>
      <c r="C122" s="328" t="s">
        <v>200</v>
      </c>
      <c r="D122" s="69" t="s">
        <v>201</v>
      </c>
      <c r="E122" s="328"/>
      <c r="F122" s="31"/>
      <c r="G122" s="557">
        <v>46080</v>
      </c>
      <c r="H122" s="31"/>
      <c r="I122" s="341"/>
      <c r="J122" s="5"/>
      <c r="K122" s="5"/>
      <c r="L122" s="5"/>
      <c r="M122" s="5"/>
      <c r="N122" s="5"/>
      <c r="O122" s="304"/>
    </row>
    <row r="123" spans="1:15" ht="15.75" thickBot="1" x14ac:dyDescent="0.3">
      <c r="A123" s="183">
        <f t="shared" si="4"/>
        <v>114</v>
      </c>
      <c r="B123" s="576"/>
      <c r="C123" s="328" t="s">
        <v>200</v>
      </c>
      <c r="D123" s="69" t="s">
        <v>202</v>
      </c>
      <c r="E123" s="328"/>
      <c r="F123" s="31"/>
      <c r="G123" s="557"/>
      <c r="H123" s="31"/>
      <c r="I123" s="341"/>
      <c r="J123" s="5"/>
      <c r="K123" s="5"/>
      <c r="L123" s="5"/>
      <c r="M123" s="5"/>
      <c r="N123" s="5"/>
      <c r="O123" s="304"/>
    </row>
    <row r="124" spans="1:15" ht="15.75" thickBot="1" x14ac:dyDescent="0.3">
      <c r="A124" s="183">
        <f t="shared" si="4"/>
        <v>115</v>
      </c>
      <c r="B124" s="576"/>
      <c r="C124" s="328" t="s">
        <v>200</v>
      </c>
      <c r="D124" s="70" t="s">
        <v>203</v>
      </c>
      <c r="E124" s="20"/>
      <c r="F124" s="72"/>
      <c r="G124" s="579"/>
      <c r="H124" s="72"/>
      <c r="I124" s="74"/>
      <c r="J124" s="5"/>
      <c r="K124" s="5"/>
      <c r="L124" s="5"/>
      <c r="M124" s="5"/>
      <c r="N124" s="5"/>
      <c r="O124" s="304"/>
    </row>
    <row r="125" spans="1:15" ht="15.75" thickBot="1" x14ac:dyDescent="0.3">
      <c r="A125" s="183">
        <f t="shared" si="4"/>
        <v>116</v>
      </c>
      <c r="B125" s="576"/>
      <c r="C125" s="371" t="s">
        <v>100</v>
      </c>
      <c r="D125" s="372" t="s">
        <v>204</v>
      </c>
      <c r="E125" s="371"/>
      <c r="F125" s="373"/>
      <c r="G125" s="374">
        <v>46084</v>
      </c>
      <c r="H125" s="373"/>
      <c r="I125" s="339"/>
      <c r="J125" s="5"/>
      <c r="K125" s="5"/>
      <c r="L125" s="5"/>
      <c r="M125" s="5"/>
      <c r="N125" s="5"/>
      <c r="O125" s="304"/>
    </row>
    <row r="126" spans="1:15" ht="15.75" thickBot="1" x14ac:dyDescent="0.3">
      <c r="A126" s="183">
        <f t="shared" si="4"/>
        <v>117</v>
      </c>
      <c r="B126" s="375" t="s">
        <v>205</v>
      </c>
      <c r="C126" s="568" t="s">
        <v>206</v>
      </c>
      <c r="D126" s="62" t="s">
        <v>207</v>
      </c>
      <c r="E126" s="61"/>
      <c r="F126" s="31" t="s">
        <v>21</v>
      </c>
      <c r="G126" s="118">
        <v>46073</v>
      </c>
      <c r="H126" s="64"/>
      <c r="I126" s="65"/>
      <c r="J126" s="5"/>
      <c r="K126" s="5"/>
      <c r="L126" s="5"/>
      <c r="M126" s="5"/>
      <c r="N126" s="5"/>
      <c r="O126" s="304"/>
    </row>
    <row r="127" spans="1:15" ht="15.75" thickBot="1" x14ac:dyDescent="0.3">
      <c r="A127" s="183">
        <f t="shared" si="4"/>
        <v>118</v>
      </c>
      <c r="B127" s="376" t="s">
        <v>208</v>
      </c>
      <c r="C127" s="574"/>
      <c r="D127" s="101" t="s">
        <v>209</v>
      </c>
      <c r="E127" s="20"/>
      <c r="F127" s="31" t="s">
        <v>21</v>
      </c>
      <c r="G127" s="374">
        <v>46073</v>
      </c>
      <c r="H127" s="73"/>
      <c r="I127" s="74"/>
      <c r="J127" s="5"/>
      <c r="K127" s="5"/>
      <c r="L127" s="5"/>
      <c r="M127" s="5"/>
      <c r="N127" s="5"/>
      <c r="O127" s="304"/>
    </row>
    <row r="128" spans="1:15" ht="33.75" customHeight="1" thickBot="1" x14ac:dyDescent="0.3">
      <c r="A128" s="183">
        <f t="shared" si="4"/>
        <v>119</v>
      </c>
      <c r="B128" s="375" t="s">
        <v>210</v>
      </c>
      <c r="C128" s="568" t="s">
        <v>211</v>
      </c>
      <c r="D128" s="62" t="s">
        <v>212</v>
      </c>
      <c r="E128" s="61"/>
      <c r="F128" s="31" t="s">
        <v>21</v>
      </c>
      <c r="G128" s="121">
        <v>46073</v>
      </c>
      <c r="H128" s="61"/>
      <c r="I128" s="65"/>
      <c r="J128" s="5"/>
      <c r="K128" s="5"/>
      <c r="L128" s="5"/>
      <c r="M128" s="5"/>
      <c r="N128" s="5"/>
      <c r="O128" s="304"/>
    </row>
    <row r="129" spans="1:15" ht="31.5" customHeight="1" thickBot="1" x14ac:dyDescent="0.3">
      <c r="A129" s="183">
        <f t="shared" si="4"/>
        <v>120</v>
      </c>
      <c r="B129" s="377" t="s">
        <v>213</v>
      </c>
      <c r="C129" s="560"/>
      <c r="D129" s="69" t="s">
        <v>214</v>
      </c>
      <c r="E129" s="122"/>
      <c r="F129" s="31" t="s">
        <v>21</v>
      </c>
      <c r="G129" s="121">
        <v>46081</v>
      </c>
      <c r="H129" s="122"/>
      <c r="I129" s="54"/>
      <c r="J129" s="5"/>
      <c r="K129" s="5"/>
      <c r="L129" s="5"/>
      <c r="M129" s="5"/>
      <c r="N129" s="5"/>
      <c r="O129" s="304"/>
    </row>
    <row r="130" spans="1:15" ht="36.75" customHeight="1" thickBot="1" x14ac:dyDescent="0.3">
      <c r="A130" s="183">
        <f t="shared" si="4"/>
        <v>121</v>
      </c>
      <c r="B130" s="376" t="s">
        <v>215</v>
      </c>
      <c r="C130" s="574"/>
      <c r="D130" s="101" t="s">
        <v>216</v>
      </c>
      <c r="E130" s="20"/>
      <c r="F130" s="31" t="s">
        <v>21</v>
      </c>
      <c r="G130" s="378" t="s">
        <v>217</v>
      </c>
      <c r="H130" s="73"/>
      <c r="I130" s="39"/>
      <c r="J130" s="5"/>
      <c r="K130" s="5"/>
      <c r="L130" s="5"/>
      <c r="M130" s="5"/>
      <c r="N130" s="5"/>
      <c r="O130" s="304"/>
    </row>
    <row r="131" spans="1:15" ht="35.25" customHeight="1" thickBot="1" x14ac:dyDescent="0.3">
      <c r="A131" s="183">
        <f t="shared" si="4"/>
        <v>122</v>
      </c>
      <c r="B131" s="375" t="s">
        <v>218</v>
      </c>
      <c r="C131" s="568" t="s">
        <v>219</v>
      </c>
      <c r="D131" s="117" t="s">
        <v>220</v>
      </c>
      <c r="E131" s="64"/>
      <c r="F131" s="331" t="s">
        <v>21</v>
      </c>
      <c r="G131" s="121">
        <v>46073</v>
      </c>
      <c r="H131" s="61"/>
      <c r="I131" s="43"/>
      <c r="J131" s="5"/>
      <c r="K131" s="5"/>
      <c r="L131" s="5"/>
      <c r="M131" s="5"/>
      <c r="N131" s="5"/>
      <c r="O131" s="304"/>
    </row>
    <row r="132" spans="1:15" ht="30" customHeight="1" thickBot="1" x14ac:dyDescent="0.3">
      <c r="A132" s="183">
        <f t="shared" si="4"/>
        <v>123</v>
      </c>
      <c r="B132" s="84" t="s">
        <v>221</v>
      </c>
      <c r="C132" s="560"/>
      <c r="D132" s="499" t="s">
        <v>222</v>
      </c>
      <c r="E132" s="500"/>
      <c r="F132" s="501" t="s">
        <v>148</v>
      </c>
      <c r="G132" s="502"/>
      <c r="H132" s="503" t="s">
        <v>150</v>
      </c>
      <c r="I132" s="53"/>
      <c r="J132" s="5"/>
      <c r="K132" s="5"/>
      <c r="L132" s="5"/>
      <c r="M132" s="5"/>
      <c r="N132" s="5"/>
      <c r="O132" s="304"/>
    </row>
    <row r="133" spans="1:15" ht="28.5" customHeight="1" thickBot="1" x14ac:dyDescent="0.3">
      <c r="A133" s="183">
        <f t="shared" si="4"/>
        <v>124</v>
      </c>
      <c r="B133" s="84" t="s">
        <v>223</v>
      </c>
      <c r="C133" s="560"/>
      <c r="D133" s="499" t="s">
        <v>224</v>
      </c>
      <c r="E133" s="500"/>
      <c r="F133" s="503" t="s">
        <v>148</v>
      </c>
      <c r="G133" s="504"/>
      <c r="H133" s="503" t="s">
        <v>150</v>
      </c>
      <c r="I133" s="339"/>
      <c r="J133" s="5"/>
      <c r="K133" s="5"/>
      <c r="L133" s="5"/>
      <c r="M133" s="5"/>
      <c r="N133" s="5"/>
      <c r="O133" s="304"/>
    </row>
    <row r="134" spans="1:15" ht="27" customHeight="1" thickBot="1" x14ac:dyDescent="0.3">
      <c r="A134" s="183">
        <f t="shared" si="4"/>
        <v>125</v>
      </c>
      <c r="B134" s="84" t="s">
        <v>225</v>
      </c>
      <c r="C134" s="560"/>
      <c r="D134" s="329" t="s">
        <v>226</v>
      </c>
      <c r="E134" s="373"/>
      <c r="F134" s="31" t="s">
        <v>21</v>
      </c>
      <c r="G134" s="121">
        <v>46086</v>
      </c>
      <c r="H134" s="122"/>
      <c r="I134" s="33"/>
      <c r="J134" s="5"/>
      <c r="K134" s="5"/>
      <c r="L134" s="5"/>
      <c r="M134" s="5"/>
      <c r="N134" s="5"/>
      <c r="O134" s="304"/>
    </row>
    <row r="135" spans="1:15" ht="28.5" customHeight="1" thickBot="1" x14ac:dyDescent="0.3">
      <c r="A135" s="183">
        <f t="shared" si="4"/>
        <v>126</v>
      </c>
      <c r="B135" s="370" t="s">
        <v>227</v>
      </c>
      <c r="C135" s="574"/>
      <c r="D135" s="114" t="s">
        <v>228</v>
      </c>
      <c r="E135" s="72"/>
      <c r="F135" s="103" t="s">
        <v>21</v>
      </c>
      <c r="G135" s="124">
        <v>46077</v>
      </c>
      <c r="H135" s="72"/>
      <c r="I135" s="125"/>
      <c r="J135" s="5"/>
      <c r="K135" s="5"/>
      <c r="L135" s="5"/>
      <c r="M135" s="5"/>
      <c r="N135" s="5"/>
      <c r="O135" s="304"/>
    </row>
    <row r="136" spans="1:15" ht="36" customHeight="1" thickBot="1" x14ac:dyDescent="0.3">
      <c r="A136" s="183">
        <f t="shared" si="4"/>
        <v>127</v>
      </c>
      <c r="B136" s="379" t="s">
        <v>229</v>
      </c>
      <c r="C136" s="126" t="s">
        <v>45</v>
      </c>
      <c r="D136" s="380" t="s">
        <v>230</v>
      </c>
      <c r="E136" s="381"/>
      <c r="F136" s="381"/>
      <c r="G136" s="381" t="s">
        <v>231</v>
      </c>
      <c r="H136" s="381"/>
      <c r="I136" s="369"/>
      <c r="J136" s="5"/>
      <c r="K136" s="5"/>
      <c r="L136" s="5"/>
      <c r="M136" s="5"/>
      <c r="N136" s="5"/>
      <c r="O136" s="304"/>
    </row>
    <row r="137" spans="1:15" ht="28.5" customHeight="1" thickBot="1" x14ac:dyDescent="0.3">
      <c r="A137" s="297">
        <f t="shared" si="4"/>
        <v>128</v>
      </c>
      <c r="B137" s="81" t="s">
        <v>229</v>
      </c>
      <c r="C137" s="127" t="s">
        <v>184</v>
      </c>
      <c r="D137" s="360" t="s">
        <v>232</v>
      </c>
      <c r="E137" s="381"/>
      <c r="F137" s="381"/>
      <c r="G137" s="381" t="s">
        <v>233</v>
      </c>
      <c r="H137" s="482"/>
      <c r="I137" s="128"/>
      <c r="J137" s="442"/>
      <c r="K137" s="442"/>
      <c r="L137" s="442"/>
      <c r="M137" s="442"/>
      <c r="N137" s="442"/>
      <c r="O137" s="390"/>
    </row>
    <row r="138" spans="1:15" ht="18" customHeight="1" thickBot="1" x14ac:dyDescent="0.3">
      <c r="A138" s="481"/>
      <c r="B138" s="544" t="s">
        <v>234</v>
      </c>
      <c r="C138" s="545"/>
      <c r="D138" s="583"/>
      <c r="E138" s="511"/>
      <c r="F138" s="517"/>
      <c r="G138" s="511"/>
      <c r="H138" s="513"/>
      <c r="I138" s="132"/>
      <c r="J138" s="444"/>
      <c r="K138" s="444"/>
      <c r="L138" s="444"/>
      <c r="M138" s="444"/>
      <c r="N138" s="444"/>
      <c r="O138" s="445"/>
    </row>
    <row r="139" spans="1:15" ht="24" customHeight="1" thickBot="1" x14ac:dyDescent="0.3">
      <c r="A139" s="129">
        <f>A137+1</f>
        <v>129</v>
      </c>
      <c r="B139" s="547" t="s">
        <v>235</v>
      </c>
      <c r="C139" s="322" t="s">
        <v>41</v>
      </c>
      <c r="D139" s="526" t="s">
        <v>712</v>
      </c>
      <c r="E139" s="527"/>
      <c r="F139" s="528" t="s">
        <v>148</v>
      </c>
      <c r="G139" s="528"/>
      <c r="H139" s="528" t="s">
        <v>21</v>
      </c>
      <c r="I139" s="386"/>
      <c r="J139" s="302"/>
      <c r="K139" s="302"/>
      <c r="L139" s="302"/>
      <c r="M139" s="302"/>
      <c r="N139" s="302"/>
      <c r="O139" s="321"/>
    </row>
    <row r="140" spans="1:15" ht="24.75" thickBot="1" x14ac:dyDescent="0.3">
      <c r="A140" s="129">
        <f t="shared" ref="A140:A181" si="5">A139+1</f>
        <v>130</v>
      </c>
      <c r="B140" s="547"/>
      <c r="C140" s="584" t="s">
        <v>16</v>
      </c>
      <c r="D140" s="526" t="s">
        <v>713</v>
      </c>
      <c r="E140" s="527"/>
      <c r="F140" s="528" t="s">
        <v>148</v>
      </c>
      <c r="G140" s="528"/>
      <c r="H140" s="528" t="s">
        <v>21</v>
      </c>
      <c r="I140" s="386"/>
      <c r="J140" s="5"/>
      <c r="K140" s="5"/>
      <c r="L140" s="5"/>
      <c r="M140" s="5"/>
      <c r="N140" s="5"/>
      <c r="O140" s="304"/>
    </row>
    <row r="141" spans="1:15" ht="19.5" customHeight="1" thickBot="1" x14ac:dyDescent="0.3">
      <c r="A141" s="129">
        <f t="shared" si="5"/>
        <v>131</v>
      </c>
      <c r="B141" s="547"/>
      <c r="C141" s="585"/>
      <c r="D141" s="514" t="s">
        <v>236</v>
      </c>
      <c r="E141" s="515"/>
      <c r="F141" s="516"/>
      <c r="G141" s="518">
        <v>46081</v>
      </c>
      <c r="H141" s="516"/>
      <c r="I141" s="386"/>
      <c r="J141" s="5"/>
      <c r="K141" s="5"/>
      <c r="L141" s="5"/>
      <c r="M141" s="5"/>
      <c r="N141" s="5"/>
      <c r="O141" s="304"/>
    </row>
    <row r="142" spans="1:15" ht="21.75" customHeight="1" thickBot="1" x14ac:dyDescent="0.3">
      <c r="A142" s="495">
        <f t="shared" si="5"/>
        <v>132</v>
      </c>
      <c r="B142" s="547"/>
      <c r="C142" s="585"/>
      <c r="D142" s="519" t="s">
        <v>237</v>
      </c>
      <c r="E142" s="520"/>
      <c r="F142" s="521"/>
      <c r="G142" s="522">
        <v>46081</v>
      </c>
      <c r="H142" s="521"/>
      <c r="I142" s="505"/>
      <c r="J142" s="442"/>
      <c r="K142" s="442"/>
      <c r="L142" s="442"/>
      <c r="M142" s="442"/>
      <c r="N142" s="442"/>
      <c r="O142" s="390"/>
    </row>
    <row r="143" spans="1:15" ht="24.75" thickBot="1" x14ac:dyDescent="0.3">
      <c r="A143" s="481">
        <f t="shared" si="5"/>
        <v>133</v>
      </c>
      <c r="B143" s="550" t="s">
        <v>238</v>
      </c>
      <c r="C143" s="133" t="s">
        <v>16</v>
      </c>
      <c r="D143" s="134" t="s">
        <v>239</v>
      </c>
      <c r="E143" s="135"/>
      <c r="F143" s="42"/>
      <c r="G143" s="489">
        <v>46081</v>
      </c>
      <c r="H143" s="42"/>
      <c r="I143" s="43"/>
      <c r="J143" s="523"/>
      <c r="K143" s="523"/>
      <c r="L143" s="523"/>
      <c r="M143" s="523"/>
      <c r="N143" s="523"/>
      <c r="O143" s="524"/>
    </row>
    <row r="144" spans="1:15" ht="24.75" thickBot="1" x14ac:dyDescent="0.3">
      <c r="A144" s="129">
        <f t="shared" si="5"/>
        <v>134</v>
      </c>
      <c r="B144" s="548"/>
      <c r="C144" s="555" t="s">
        <v>45</v>
      </c>
      <c r="D144" s="323" t="s">
        <v>240</v>
      </c>
      <c r="E144" s="485"/>
      <c r="F144" s="492"/>
      <c r="G144" s="588">
        <v>46084</v>
      </c>
      <c r="H144" s="328"/>
      <c r="I144" s="336"/>
      <c r="J144" s="5"/>
      <c r="K144" s="5"/>
      <c r="L144" s="5"/>
      <c r="M144" s="5"/>
      <c r="N144" s="5"/>
      <c r="O144" s="304"/>
    </row>
    <row r="145" spans="1:15" ht="15.75" thickBot="1" x14ac:dyDescent="0.3">
      <c r="A145" s="129">
        <f t="shared" si="5"/>
        <v>135</v>
      </c>
      <c r="B145" s="547"/>
      <c r="C145" s="552"/>
      <c r="D145" s="323" t="s">
        <v>241</v>
      </c>
      <c r="E145" s="335"/>
      <c r="F145" s="137" t="s">
        <v>21</v>
      </c>
      <c r="G145" s="589"/>
      <c r="H145" s="328"/>
      <c r="I145" s="336"/>
      <c r="J145" s="5"/>
      <c r="K145" s="5"/>
      <c r="L145" s="5"/>
      <c r="M145" s="5"/>
      <c r="N145" s="5"/>
      <c r="O145" s="304"/>
    </row>
    <row r="146" spans="1:15" ht="15.75" thickBot="1" x14ac:dyDescent="0.3">
      <c r="A146" s="129">
        <f t="shared" si="5"/>
        <v>136</v>
      </c>
      <c r="B146" s="549"/>
      <c r="C146" s="587"/>
      <c r="D146" s="35" t="s">
        <v>242</v>
      </c>
      <c r="E146" s="488"/>
      <c r="F146" s="493"/>
      <c r="G146" s="590"/>
      <c r="H146" s="20"/>
      <c r="I146" s="39"/>
      <c r="J146" s="440"/>
      <c r="K146" s="440"/>
      <c r="L146" s="440"/>
      <c r="M146" s="440"/>
      <c r="N146" s="440"/>
      <c r="O146" s="525"/>
    </row>
    <row r="147" spans="1:15" ht="24.75" thickBot="1" x14ac:dyDescent="0.3">
      <c r="A147" s="129">
        <f t="shared" si="5"/>
        <v>137</v>
      </c>
      <c r="B147" s="547" t="s">
        <v>145</v>
      </c>
      <c r="C147" s="490" t="s">
        <v>146</v>
      </c>
      <c r="D147" s="327" t="s">
        <v>243</v>
      </c>
      <c r="E147" s="491"/>
      <c r="F147" s="139" t="s">
        <v>244</v>
      </c>
      <c r="G147" s="384"/>
      <c r="H147" s="139" t="s">
        <v>21</v>
      </c>
      <c r="I147" s="386"/>
      <c r="J147" s="302"/>
      <c r="K147" s="302"/>
      <c r="L147" s="302"/>
      <c r="M147" s="302"/>
      <c r="N147" s="302"/>
      <c r="O147" s="321"/>
    </row>
    <row r="148" spans="1:15" ht="60.75" thickBot="1" x14ac:dyDescent="0.3">
      <c r="A148" s="129">
        <f t="shared" si="5"/>
        <v>138</v>
      </c>
      <c r="B148" s="547"/>
      <c r="C148" s="580" t="s">
        <v>88</v>
      </c>
      <c r="D148" s="327" t="s">
        <v>245</v>
      </c>
      <c r="E148" s="99"/>
      <c r="F148" s="385" t="s">
        <v>703</v>
      </c>
      <c r="G148" s="138"/>
      <c r="H148" s="138" t="s">
        <v>91</v>
      </c>
      <c r="I148" s="386"/>
      <c r="J148" s="5"/>
      <c r="K148" s="5"/>
      <c r="L148" s="5"/>
      <c r="M148" s="5"/>
      <c r="N148" s="5"/>
      <c r="O148" s="304"/>
    </row>
    <row r="149" spans="1:15" ht="15.75" thickBot="1" x14ac:dyDescent="0.3">
      <c r="A149" s="129">
        <f t="shared" si="5"/>
        <v>139</v>
      </c>
      <c r="B149" s="547"/>
      <c r="C149" s="565"/>
      <c r="D149" s="327" t="s">
        <v>246</v>
      </c>
      <c r="E149" s="99"/>
      <c r="F149" s="591" t="s">
        <v>247</v>
      </c>
      <c r="G149" s="385"/>
      <c r="H149" s="594" t="s">
        <v>91</v>
      </c>
      <c r="I149" s="336"/>
      <c r="J149" s="5"/>
      <c r="K149" s="5"/>
      <c r="L149" s="5"/>
      <c r="M149" s="5"/>
      <c r="N149" s="5"/>
      <c r="O149" s="304"/>
    </row>
    <row r="150" spans="1:15" ht="15.75" thickBot="1" x14ac:dyDescent="0.3">
      <c r="A150" s="129">
        <f t="shared" si="5"/>
        <v>140</v>
      </c>
      <c r="B150" s="547"/>
      <c r="C150" s="565"/>
      <c r="D150" s="327" t="s">
        <v>248</v>
      </c>
      <c r="E150" s="99"/>
      <c r="F150" s="592"/>
      <c r="G150" s="387"/>
      <c r="H150" s="594"/>
      <c r="I150" s="336"/>
      <c r="J150" s="5"/>
      <c r="K150" s="5"/>
      <c r="L150" s="5"/>
      <c r="M150" s="5"/>
      <c r="N150" s="5"/>
      <c r="O150" s="304"/>
    </row>
    <row r="151" spans="1:15" ht="24.75" thickBot="1" x14ac:dyDescent="0.3">
      <c r="A151" s="129">
        <f t="shared" si="5"/>
        <v>141</v>
      </c>
      <c r="B151" s="547"/>
      <c r="C151" s="566"/>
      <c r="D151" s="327" t="s">
        <v>249</v>
      </c>
      <c r="E151" s="99"/>
      <c r="F151" s="593"/>
      <c r="G151" s="388"/>
      <c r="H151" s="595"/>
      <c r="I151" s="336"/>
      <c r="J151" s="5"/>
      <c r="K151" s="5"/>
      <c r="L151" s="5"/>
      <c r="M151" s="5"/>
      <c r="N151" s="5"/>
      <c r="O151" s="304"/>
    </row>
    <row r="152" spans="1:15" ht="24.75" thickBot="1" x14ac:dyDescent="0.3">
      <c r="A152" s="129">
        <f t="shared" si="5"/>
        <v>142</v>
      </c>
      <c r="B152" s="548"/>
      <c r="C152" s="555" t="s">
        <v>45</v>
      </c>
      <c r="D152" s="327" t="s">
        <v>250</v>
      </c>
      <c r="E152" s="99"/>
      <c r="F152" s="139" t="s">
        <v>244</v>
      </c>
      <c r="G152" s="140"/>
      <c r="H152" s="139" t="s">
        <v>21</v>
      </c>
      <c r="I152" s="386"/>
      <c r="J152" s="5"/>
      <c r="K152" s="5"/>
      <c r="L152" s="5"/>
      <c r="M152" s="5"/>
      <c r="N152" s="5"/>
      <c r="O152" s="304"/>
    </row>
    <row r="153" spans="1:15" ht="15.75" thickBot="1" x14ac:dyDescent="0.3">
      <c r="A153" s="129">
        <f t="shared" si="5"/>
        <v>143</v>
      </c>
      <c r="B153" s="547"/>
      <c r="C153" s="552"/>
      <c r="D153" s="323" t="s">
        <v>251</v>
      </c>
      <c r="E153" s="389"/>
      <c r="F153" s="331"/>
      <c r="G153" s="332">
        <v>46081</v>
      </c>
      <c r="H153" s="331"/>
      <c r="I153" s="336"/>
      <c r="J153" s="5"/>
      <c r="K153" s="5"/>
      <c r="L153" s="5"/>
      <c r="M153" s="5"/>
      <c r="N153" s="5"/>
      <c r="O153" s="304"/>
    </row>
    <row r="154" spans="1:15" ht="15.75" thickBot="1" x14ac:dyDescent="0.3">
      <c r="A154" s="129">
        <f t="shared" si="5"/>
        <v>144</v>
      </c>
      <c r="B154" s="547"/>
      <c r="C154" s="552"/>
      <c r="D154" s="323" t="s">
        <v>252</v>
      </c>
      <c r="E154" s="389"/>
      <c r="F154" s="331"/>
      <c r="G154" s="331" t="s">
        <v>253</v>
      </c>
      <c r="H154" s="331"/>
      <c r="I154" s="336"/>
      <c r="J154" s="5"/>
      <c r="K154" s="5"/>
      <c r="L154" s="5"/>
      <c r="M154" s="5"/>
      <c r="N154" s="5"/>
      <c r="O154" s="304"/>
    </row>
    <row r="155" spans="1:15" ht="15.75" thickBot="1" x14ac:dyDescent="0.3">
      <c r="A155" s="129">
        <f t="shared" si="5"/>
        <v>145</v>
      </c>
      <c r="B155" s="547"/>
      <c r="C155" s="552"/>
      <c r="D155" s="323" t="s">
        <v>254</v>
      </c>
      <c r="E155" s="389"/>
      <c r="F155" s="331"/>
      <c r="G155" s="332">
        <v>46081</v>
      </c>
      <c r="H155" s="331"/>
      <c r="I155" s="336"/>
      <c r="J155" s="5"/>
      <c r="K155" s="5"/>
      <c r="L155" s="5"/>
      <c r="M155" s="5"/>
      <c r="N155" s="5"/>
      <c r="O155" s="304"/>
    </row>
    <row r="156" spans="1:15" ht="21.75" customHeight="1" thickBot="1" x14ac:dyDescent="0.3">
      <c r="A156" s="129">
        <f t="shared" si="5"/>
        <v>146</v>
      </c>
      <c r="B156" s="547"/>
      <c r="C156" s="552"/>
      <c r="D156" s="323" t="s">
        <v>255</v>
      </c>
      <c r="E156" s="389"/>
      <c r="F156" s="331"/>
      <c r="G156" s="332">
        <v>46081</v>
      </c>
      <c r="H156" s="331"/>
      <c r="I156" s="336"/>
      <c r="J156" s="5"/>
      <c r="K156" s="5"/>
      <c r="L156" s="5"/>
      <c r="M156" s="5"/>
      <c r="N156" s="5"/>
      <c r="O156" s="304"/>
    </row>
    <row r="157" spans="1:15" ht="21.75" customHeight="1" thickBot="1" x14ac:dyDescent="0.3">
      <c r="A157" s="129">
        <f t="shared" si="5"/>
        <v>147</v>
      </c>
      <c r="B157" s="547"/>
      <c r="C157" s="552"/>
      <c r="D157" s="323" t="s">
        <v>256</v>
      </c>
      <c r="E157" s="389"/>
      <c r="F157" s="331"/>
      <c r="G157" s="332">
        <v>46081</v>
      </c>
      <c r="H157" s="331"/>
      <c r="I157" s="336"/>
      <c r="J157" s="5"/>
      <c r="K157" s="5"/>
      <c r="L157" s="5"/>
      <c r="M157" s="5"/>
      <c r="N157" s="5"/>
      <c r="O157" s="304"/>
    </row>
    <row r="158" spans="1:15" ht="28.5" customHeight="1" thickBot="1" x14ac:dyDescent="0.3">
      <c r="A158" s="129">
        <f t="shared" si="5"/>
        <v>148</v>
      </c>
      <c r="B158" s="547"/>
      <c r="C158" s="552"/>
      <c r="D158" s="44" t="s">
        <v>257</v>
      </c>
      <c r="E158" s="389"/>
      <c r="F158" s="331"/>
      <c r="G158" s="332">
        <v>46081</v>
      </c>
      <c r="H158" s="331"/>
      <c r="I158" s="336"/>
      <c r="J158" s="5"/>
      <c r="K158" s="5"/>
      <c r="L158" s="5"/>
      <c r="M158" s="5"/>
      <c r="N158" s="5"/>
      <c r="O158" s="304"/>
    </row>
    <row r="159" spans="1:15" ht="30" customHeight="1" thickBot="1" x14ac:dyDescent="0.3">
      <c r="A159" s="129">
        <f t="shared" si="5"/>
        <v>149</v>
      </c>
      <c r="B159" s="547"/>
      <c r="C159" s="552"/>
      <c r="D159" s="323" t="s">
        <v>258</v>
      </c>
      <c r="E159" s="389"/>
      <c r="F159" s="331"/>
      <c r="G159" s="332">
        <v>46081</v>
      </c>
      <c r="H159" s="331"/>
      <c r="I159" s="336"/>
      <c r="J159" s="5"/>
      <c r="K159" s="5"/>
      <c r="L159" s="5"/>
      <c r="M159" s="5"/>
      <c r="N159" s="5"/>
      <c r="O159" s="304"/>
    </row>
    <row r="160" spans="1:15" ht="15.75" thickBot="1" x14ac:dyDescent="0.3">
      <c r="A160" s="129">
        <f t="shared" si="5"/>
        <v>150</v>
      </c>
      <c r="B160" s="547"/>
      <c r="C160" s="552"/>
      <c r="D160" s="323" t="s">
        <v>259</v>
      </c>
      <c r="E160" s="389"/>
      <c r="F160" s="331"/>
      <c r="G160" s="332">
        <v>46081</v>
      </c>
      <c r="H160" s="331"/>
      <c r="I160" s="336"/>
      <c r="J160" s="5"/>
      <c r="K160" s="5"/>
      <c r="L160" s="5"/>
      <c r="M160" s="5"/>
      <c r="N160" s="5"/>
      <c r="O160" s="304"/>
    </row>
    <row r="161" spans="1:15" ht="24.75" thickBot="1" x14ac:dyDescent="0.3">
      <c r="A161" s="129">
        <f t="shared" si="5"/>
        <v>151</v>
      </c>
      <c r="B161" s="547"/>
      <c r="C161" s="552"/>
      <c r="D161" s="323" t="s">
        <v>260</v>
      </c>
      <c r="E161" s="389"/>
      <c r="F161" s="331"/>
      <c r="G161" s="332">
        <v>46081</v>
      </c>
      <c r="H161" s="331"/>
      <c r="I161" s="336"/>
      <c r="J161" s="5"/>
      <c r="K161" s="5"/>
      <c r="L161" s="5"/>
      <c r="M161" s="5"/>
      <c r="N161" s="5"/>
      <c r="O161" s="304"/>
    </row>
    <row r="162" spans="1:15" ht="15.75" thickBot="1" x14ac:dyDescent="0.3">
      <c r="A162" s="129">
        <f t="shared" si="5"/>
        <v>152</v>
      </c>
      <c r="B162" s="547"/>
      <c r="C162" s="552"/>
      <c r="D162" s="323" t="s">
        <v>261</v>
      </c>
      <c r="E162" s="389"/>
      <c r="F162" s="331"/>
      <c r="G162" s="332">
        <v>46081</v>
      </c>
      <c r="H162" s="331"/>
      <c r="I162" s="336"/>
      <c r="J162" s="5"/>
      <c r="K162" s="5"/>
      <c r="L162" s="5"/>
      <c r="M162" s="5"/>
      <c r="N162" s="5"/>
      <c r="O162" s="304"/>
    </row>
    <row r="163" spans="1:15" ht="15.75" thickBot="1" x14ac:dyDescent="0.3">
      <c r="A163" s="129">
        <f t="shared" si="5"/>
        <v>153</v>
      </c>
      <c r="B163" s="547"/>
      <c r="C163" s="552"/>
      <c r="D163" s="323" t="s">
        <v>158</v>
      </c>
      <c r="E163" s="389"/>
      <c r="F163" s="331"/>
      <c r="G163" s="332">
        <v>46081</v>
      </c>
      <c r="H163" s="331"/>
      <c r="I163" s="336"/>
      <c r="J163" s="5"/>
      <c r="K163" s="5"/>
      <c r="L163" s="5"/>
      <c r="M163" s="5"/>
      <c r="N163" s="5"/>
      <c r="O163" s="304"/>
    </row>
    <row r="164" spans="1:15" ht="15.75" thickBot="1" x14ac:dyDescent="0.3">
      <c r="A164" s="129">
        <f t="shared" si="5"/>
        <v>154</v>
      </c>
      <c r="B164" s="547"/>
      <c r="C164" s="552"/>
      <c r="D164" s="323" t="s">
        <v>262</v>
      </c>
      <c r="E164" s="389"/>
      <c r="F164" s="331"/>
      <c r="G164" s="332">
        <v>46081</v>
      </c>
      <c r="H164" s="331"/>
      <c r="I164" s="336"/>
      <c r="J164" s="5"/>
      <c r="K164" s="5"/>
      <c r="L164" s="5"/>
      <c r="M164" s="5"/>
      <c r="N164" s="5"/>
      <c r="O164" s="304"/>
    </row>
    <row r="165" spans="1:15" ht="24.75" thickBot="1" x14ac:dyDescent="0.3">
      <c r="A165" s="129">
        <f t="shared" si="5"/>
        <v>155</v>
      </c>
      <c r="B165" s="547"/>
      <c r="C165" s="552"/>
      <c r="D165" s="323" t="s">
        <v>263</v>
      </c>
      <c r="E165" s="389"/>
      <c r="F165" s="331"/>
      <c r="G165" s="332">
        <v>46081</v>
      </c>
      <c r="H165" s="331"/>
      <c r="I165" s="336"/>
      <c r="J165" s="5"/>
      <c r="K165" s="5"/>
      <c r="L165" s="5"/>
      <c r="M165" s="5"/>
      <c r="N165" s="5"/>
      <c r="O165" s="304"/>
    </row>
    <row r="166" spans="1:15" ht="15.75" thickBot="1" x14ac:dyDescent="0.3">
      <c r="A166" s="129">
        <f t="shared" si="5"/>
        <v>156</v>
      </c>
      <c r="B166" s="547"/>
      <c r="C166" s="552"/>
      <c r="D166" s="323" t="s">
        <v>264</v>
      </c>
      <c r="E166" s="389"/>
      <c r="F166" s="331"/>
      <c r="G166" s="332">
        <v>46081</v>
      </c>
      <c r="H166" s="331"/>
      <c r="I166" s="336"/>
      <c r="J166" s="5"/>
      <c r="K166" s="5"/>
      <c r="L166" s="5"/>
      <c r="M166" s="5"/>
      <c r="N166" s="5"/>
      <c r="O166" s="304"/>
    </row>
    <row r="167" spans="1:15" ht="24.75" thickBot="1" x14ac:dyDescent="0.3">
      <c r="A167" s="129">
        <f t="shared" si="5"/>
        <v>157</v>
      </c>
      <c r="B167" s="547"/>
      <c r="C167" s="552"/>
      <c r="D167" s="323" t="s">
        <v>265</v>
      </c>
      <c r="E167" s="389"/>
      <c r="F167" s="331"/>
      <c r="G167" s="332">
        <v>46081</v>
      </c>
      <c r="H167" s="331"/>
      <c r="I167" s="336" t="s">
        <v>266</v>
      </c>
      <c r="J167" s="5"/>
      <c r="K167" s="5"/>
      <c r="L167" s="5"/>
      <c r="M167" s="5"/>
      <c r="N167" s="5"/>
      <c r="O167" s="304"/>
    </row>
    <row r="168" spans="1:15" ht="24.75" thickBot="1" x14ac:dyDescent="0.3">
      <c r="A168" s="129">
        <f t="shared" si="5"/>
        <v>158</v>
      </c>
      <c r="B168" s="547"/>
      <c r="C168" s="552"/>
      <c r="D168" s="323" t="s">
        <v>267</v>
      </c>
      <c r="E168" s="389"/>
      <c r="F168" s="331"/>
      <c r="G168" s="332">
        <v>46081</v>
      </c>
      <c r="H168" s="331"/>
      <c r="I168" s="336"/>
      <c r="J168" s="5"/>
      <c r="K168" s="5"/>
      <c r="L168" s="5"/>
      <c r="M168" s="5"/>
      <c r="N168" s="5"/>
      <c r="O168" s="304"/>
    </row>
    <row r="169" spans="1:15" ht="24.75" thickBot="1" x14ac:dyDescent="0.3">
      <c r="A169" s="129">
        <f t="shared" si="5"/>
        <v>159</v>
      </c>
      <c r="B169" s="547"/>
      <c r="C169" s="552"/>
      <c r="D169" s="323" t="s">
        <v>268</v>
      </c>
      <c r="E169" s="389"/>
      <c r="F169" s="373"/>
      <c r="G169" s="332">
        <v>46081</v>
      </c>
      <c r="H169" s="373"/>
      <c r="I169" s="336"/>
      <c r="J169" s="5"/>
      <c r="K169" s="5"/>
      <c r="L169" s="5"/>
      <c r="M169" s="5"/>
      <c r="N169" s="5"/>
      <c r="O169" s="304"/>
    </row>
    <row r="170" spans="1:15" ht="15.75" thickBot="1" x14ac:dyDescent="0.3">
      <c r="A170" s="129">
        <f t="shared" si="5"/>
        <v>160</v>
      </c>
      <c r="B170" s="547"/>
      <c r="C170" s="553"/>
      <c r="D170" s="323" t="s">
        <v>269</v>
      </c>
      <c r="E170" s="331"/>
      <c r="F170" s="141"/>
      <c r="G170" s="332">
        <v>46081</v>
      </c>
      <c r="H170" s="142"/>
      <c r="I170" s="386"/>
      <c r="J170" s="5"/>
      <c r="K170" s="5"/>
      <c r="L170" s="5"/>
      <c r="M170" s="5"/>
      <c r="N170" s="5"/>
      <c r="O170" s="390"/>
    </row>
    <row r="171" spans="1:15" ht="34.5" customHeight="1" thickBot="1" x14ac:dyDescent="0.3">
      <c r="A171" s="129">
        <f t="shared" si="5"/>
        <v>161</v>
      </c>
      <c r="B171" s="547"/>
      <c r="C171" s="596" t="s">
        <v>161</v>
      </c>
      <c r="D171" s="309" t="s">
        <v>270</v>
      </c>
      <c r="E171" s="310"/>
      <c r="F171" s="169" t="s">
        <v>81</v>
      </c>
      <c r="G171" s="310"/>
      <c r="H171" s="143" t="s">
        <v>14</v>
      </c>
      <c r="I171" s="144"/>
      <c r="J171" s="362"/>
      <c r="K171" s="362"/>
      <c r="L171" s="362"/>
      <c r="M171" s="362"/>
      <c r="N171" s="391"/>
      <c r="O171" s="312" t="s">
        <v>15</v>
      </c>
    </row>
    <row r="172" spans="1:15" ht="15.75" thickBot="1" x14ac:dyDescent="0.3">
      <c r="A172" s="129">
        <f t="shared" si="5"/>
        <v>162</v>
      </c>
      <c r="B172" s="547"/>
      <c r="C172" s="597"/>
      <c r="D172" s="392" t="s">
        <v>271</v>
      </c>
      <c r="E172" s="393"/>
      <c r="F172" s="143" t="s">
        <v>81</v>
      </c>
      <c r="G172" s="308"/>
      <c r="H172" s="143" t="s">
        <v>14</v>
      </c>
      <c r="I172" s="144"/>
      <c r="J172" s="362"/>
      <c r="K172" s="362"/>
      <c r="L172" s="362"/>
      <c r="M172" s="362"/>
      <c r="N172" s="362"/>
      <c r="O172" s="306" t="s">
        <v>15</v>
      </c>
    </row>
    <row r="173" spans="1:15" ht="15.75" thickBot="1" x14ac:dyDescent="0.3">
      <c r="A173" s="129">
        <f t="shared" si="5"/>
        <v>163</v>
      </c>
      <c r="B173" s="550" t="s">
        <v>272</v>
      </c>
      <c r="C173" s="568" t="s">
        <v>165</v>
      </c>
      <c r="D173" s="62" t="s">
        <v>175</v>
      </c>
      <c r="E173" s="63"/>
      <c r="F173" s="331" t="s">
        <v>21</v>
      </c>
      <c r="G173" s="589">
        <v>46077</v>
      </c>
      <c r="H173" s="328"/>
      <c r="I173" s="336"/>
      <c r="J173" s="5"/>
      <c r="K173" s="5"/>
      <c r="L173" s="5"/>
      <c r="M173" s="5"/>
      <c r="N173" s="5"/>
      <c r="O173" s="304"/>
    </row>
    <row r="174" spans="1:15" ht="15.75" thickBot="1" x14ac:dyDescent="0.3">
      <c r="A174" s="129">
        <f t="shared" si="5"/>
        <v>164</v>
      </c>
      <c r="B174" s="547"/>
      <c r="C174" s="560"/>
      <c r="D174" s="69" t="s">
        <v>176</v>
      </c>
      <c r="E174" s="100"/>
      <c r="F174" s="31" t="s">
        <v>21</v>
      </c>
      <c r="G174" s="589"/>
      <c r="H174" s="328"/>
      <c r="I174" s="336"/>
      <c r="J174" s="5"/>
      <c r="K174" s="5"/>
      <c r="L174" s="5"/>
      <c r="M174" s="5"/>
      <c r="N174" s="5"/>
      <c r="O174" s="304"/>
    </row>
    <row r="175" spans="1:15" ht="15.75" thickBot="1" x14ac:dyDescent="0.3">
      <c r="A175" s="129">
        <f t="shared" si="5"/>
        <v>165</v>
      </c>
      <c r="B175" s="549"/>
      <c r="C175" s="574"/>
      <c r="D175" s="21" t="s">
        <v>177</v>
      </c>
      <c r="E175" s="22"/>
      <c r="F175" s="356" t="s">
        <v>21</v>
      </c>
      <c r="G175" s="598"/>
      <c r="H175" s="20"/>
      <c r="I175" s="39"/>
      <c r="J175" s="5"/>
      <c r="K175" s="5"/>
      <c r="L175" s="5"/>
      <c r="M175" s="5"/>
      <c r="N175" s="5"/>
      <c r="O175" s="304"/>
    </row>
    <row r="176" spans="1:15" ht="15.75" thickBot="1" x14ac:dyDescent="0.3">
      <c r="A176" s="129">
        <f t="shared" si="5"/>
        <v>166</v>
      </c>
      <c r="B176" s="394" t="s">
        <v>273</v>
      </c>
      <c r="C176" s="560" t="s">
        <v>206</v>
      </c>
      <c r="D176" s="354" t="s">
        <v>207</v>
      </c>
      <c r="E176" s="389"/>
      <c r="F176" s="31" t="s">
        <v>21</v>
      </c>
      <c r="G176" s="145">
        <v>46073</v>
      </c>
      <c r="H176" s="328"/>
      <c r="I176" s="336"/>
      <c r="J176" s="5"/>
      <c r="K176" s="5"/>
      <c r="L176" s="5"/>
      <c r="M176" s="5"/>
      <c r="N176" s="5"/>
      <c r="O176" s="304"/>
    </row>
    <row r="177" spans="1:15" ht="15.75" thickBot="1" x14ac:dyDescent="0.3">
      <c r="A177" s="129">
        <f t="shared" si="5"/>
        <v>167</v>
      </c>
      <c r="B177" s="395" t="s">
        <v>274</v>
      </c>
      <c r="C177" s="560"/>
      <c r="D177" s="372" t="s">
        <v>209</v>
      </c>
      <c r="E177" s="396"/>
      <c r="F177" s="31" t="s">
        <v>21</v>
      </c>
      <c r="G177" s="397">
        <v>46073</v>
      </c>
      <c r="H177" s="373"/>
      <c r="I177" s="326"/>
      <c r="J177" s="5"/>
      <c r="K177" s="5"/>
      <c r="L177" s="5"/>
      <c r="M177" s="5"/>
      <c r="N177" s="5"/>
      <c r="O177" s="304"/>
    </row>
    <row r="178" spans="1:15" ht="26.25" customHeight="1" thickBot="1" x14ac:dyDescent="0.3">
      <c r="A178" s="129">
        <f t="shared" si="5"/>
        <v>168</v>
      </c>
      <c r="B178" s="398" t="s">
        <v>275</v>
      </c>
      <c r="C178" s="399"/>
      <c r="D178" s="146" t="s">
        <v>276</v>
      </c>
      <c r="E178" s="147"/>
      <c r="F178" s="31" t="s">
        <v>21</v>
      </c>
      <c r="G178" s="82"/>
      <c r="H178" s="61"/>
      <c r="I178" s="43"/>
      <c r="J178" s="5"/>
      <c r="K178" s="5"/>
      <c r="L178" s="5"/>
      <c r="M178" s="5"/>
      <c r="N178" s="5"/>
      <c r="O178" s="304"/>
    </row>
    <row r="179" spans="1:15" ht="15.75" thickBot="1" x14ac:dyDescent="0.3">
      <c r="A179" s="129">
        <f t="shared" si="5"/>
        <v>169</v>
      </c>
      <c r="B179" s="377" t="s">
        <v>277</v>
      </c>
      <c r="C179" s="568" t="s">
        <v>211</v>
      </c>
      <c r="D179" s="69" t="s">
        <v>214</v>
      </c>
      <c r="E179" s="389"/>
      <c r="F179" s="31" t="s">
        <v>21</v>
      </c>
      <c r="G179" s="121">
        <v>46080</v>
      </c>
      <c r="H179" s="328"/>
      <c r="I179" s="336"/>
      <c r="J179" s="5"/>
      <c r="K179" s="5"/>
      <c r="L179" s="5"/>
      <c r="M179" s="5"/>
      <c r="N179" s="5"/>
      <c r="O179" s="304"/>
    </row>
    <row r="180" spans="1:15" ht="24.75" thickBot="1" x14ac:dyDescent="0.3">
      <c r="A180" s="129">
        <f t="shared" si="5"/>
        <v>170</v>
      </c>
      <c r="B180" s="376" t="s">
        <v>278</v>
      </c>
      <c r="C180" s="574"/>
      <c r="D180" s="101" t="s">
        <v>216</v>
      </c>
      <c r="E180" s="103"/>
      <c r="F180" s="31" t="s">
        <v>21</v>
      </c>
      <c r="G180" s="124">
        <v>46080</v>
      </c>
      <c r="H180" s="373"/>
      <c r="I180" s="39"/>
      <c r="J180" s="5"/>
      <c r="K180" s="5"/>
      <c r="L180" s="5"/>
      <c r="M180" s="5"/>
      <c r="N180" s="5"/>
      <c r="O180" s="390"/>
    </row>
    <row r="181" spans="1:15" ht="24.75" thickBot="1" x14ac:dyDescent="0.3">
      <c r="A181" s="475">
        <f t="shared" si="5"/>
        <v>171</v>
      </c>
      <c r="B181" s="400" t="s">
        <v>279</v>
      </c>
      <c r="C181" s="148" t="s">
        <v>280</v>
      </c>
      <c r="D181" s="401" t="s">
        <v>220</v>
      </c>
      <c r="E181" s="402"/>
      <c r="F181" s="169" t="s">
        <v>81</v>
      </c>
      <c r="G181" s="478"/>
      <c r="H181" s="472" t="s">
        <v>14</v>
      </c>
      <c r="I181" s="473"/>
      <c r="J181" s="362"/>
      <c r="K181" s="362"/>
      <c r="L181" s="362"/>
      <c r="M181" s="362"/>
      <c r="N181" s="151"/>
      <c r="O181" s="474" t="s">
        <v>15</v>
      </c>
    </row>
    <row r="182" spans="1:15" ht="15.75" thickBot="1" x14ac:dyDescent="0.3">
      <c r="A182" s="481"/>
      <c r="B182" s="599" t="s">
        <v>281</v>
      </c>
      <c r="C182" s="600"/>
      <c r="D182" s="600"/>
      <c r="E182" s="131"/>
      <c r="F182" s="131"/>
      <c r="G182" s="131"/>
      <c r="H182" s="204"/>
      <c r="I182" s="132"/>
      <c r="J182" s="444"/>
      <c r="K182" s="444"/>
      <c r="L182" s="444"/>
      <c r="M182" s="444"/>
      <c r="N182" s="444"/>
      <c r="O182" s="445"/>
    </row>
    <row r="183" spans="1:15" ht="37.5" customHeight="1" thickBot="1" x14ac:dyDescent="0.3">
      <c r="A183" s="129">
        <f>A181+1</f>
        <v>172</v>
      </c>
      <c r="B183" s="394" t="s">
        <v>282</v>
      </c>
      <c r="C183" s="152" t="s">
        <v>45</v>
      </c>
      <c r="D183" s="153" t="s">
        <v>283</v>
      </c>
      <c r="E183" s="154"/>
      <c r="F183" s="479" t="s">
        <v>21</v>
      </c>
      <c r="G183" s="155">
        <v>46084</v>
      </c>
      <c r="H183" s="479"/>
      <c r="I183" s="480"/>
      <c r="J183" s="302"/>
      <c r="K183" s="302"/>
      <c r="L183" s="302"/>
      <c r="M183" s="302"/>
      <c r="N183" s="302"/>
      <c r="O183" s="321"/>
    </row>
    <row r="184" spans="1:15" ht="26.25" customHeight="1" thickBot="1" x14ac:dyDescent="0.3">
      <c r="A184" s="129">
        <f t="shared" ref="A184:A215" si="6">A183+1</f>
        <v>173</v>
      </c>
      <c r="B184" s="554" t="s">
        <v>284</v>
      </c>
      <c r="C184" s="322" t="s">
        <v>285</v>
      </c>
      <c r="D184" s="323" t="s">
        <v>286</v>
      </c>
      <c r="E184" s="382"/>
      <c r="F184" s="382" t="s">
        <v>21</v>
      </c>
      <c r="G184" s="335"/>
      <c r="H184" s="403" t="s">
        <v>21</v>
      </c>
      <c r="I184" s="336"/>
      <c r="J184" s="5"/>
      <c r="K184" s="5"/>
      <c r="L184" s="5"/>
      <c r="M184" s="5"/>
      <c r="N184" s="5"/>
      <c r="O184" s="304"/>
    </row>
    <row r="185" spans="1:15" ht="15.75" thickBot="1" x14ac:dyDescent="0.3">
      <c r="A185" s="129">
        <f t="shared" si="6"/>
        <v>174</v>
      </c>
      <c r="B185" s="601"/>
      <c r="C185" s="34" t="s">
        <v>45</v>
      </c>
      <c r="D185" s="35" t="s">
        <v>287</v>
      </c>
      <c r="E185" s="103"/>
      <c r="F185" s="73" t="s">
        <v>21</v>
      </c>
      <c r="G185" s="73" t="s">
        <v>288</v>
      </c>
      <c r="H185" s="381"/>
      <c r="I185" s="39"/>
      <c r="J185" s="5"/>
      <c r="K185" s="5"/>
      <c r="L185" s="5"/>
      <c r="M185" s="5"/>
      <c r="N185" s="5"/>
      <c r="O185" s="304"/>
    </row>
    <row r="186" spans="1:15" ht="30.75" customHeight="1" thickBot="1" x14ac:dyDescent="0.3">
      <c r="A186" s="129">
        <f t="shared" si="6"/>
        <v>175</v>
      </c>
      <c r="B186" s="602" t="s">
        <v>289</v>
      </c>
      <c r="C186" s="604" t="s">
        <v>45</v>
      </c>
      <c r="D186" s="134" t="s">
        <v>290</v>
      </c>
      <c r="E186" s="147"/>
      <c r="F186" s="64" t="s">
        <v>21</v>
      </c>
      <c r="G186" s="383">
        <v>46083</v>
      </c>
      <c r="H186" s="381"/>
      <c r="I186" s="43"/>
      <c r="J186" s="5"/>
      <c r="K186" s="5"/>
      <c r="L186" s="5"/>
      <c r="M186" s="5"/>
      <c r="N186" s="5"/>
      <c r="O186" s="304"/>
    </row>
    <row r="187" spans="1:15" ht="15.75" thickBot="1" x14ac:dyDescent="0.3">
      <c r="A187" s="129">
        <f t="shared" si="6"/>
        <v>176</v>
      </c>
      <c r="B187" s="547"/>
      <c r="C187" s="605"/>
      <c r="D187" s="323" t="s">
        <v>291</v>
      </c>
      <c r="E187" s="389"/>
      <c r="F187" s="31" t="s">
        <v>21</v>
      </c>
      <c r="G187" s="383">
        <v>46083</v>
      </c>
      <c r="H187" s="381"/>
      <c r="I187" s="341"/>
      <c r="J187" s="5"/>
      <c r="K187" s="5"/>
      <c r="L187" s="5"/>
      <c r="M187" s="5"/>
      <c r="N187" s="5"/>
      <c r="O187" s="304"/>
    </row>
    <row r="188" spans="1:15" ht="15.75" thickBot="1" x14ac:dyDescent="0.3">
      <c r="A188" s="129">
        <f t="shared" si="6"/>
        <v>177</v>
      </c>
      <c r="B188" s="547"/>
      <c r="C188" s="605"/>
      <c r="D188" s="156" t="s">
        <v>292</v>
      </c>
      <c r="E188" s="389"/>
      <c r="F188" s="31" t="s">
        <v>21</v>
      </c>
      <c r="G188" s="383">
        <v>46083</v>
      </c>
      <c r="H188" s="381"/>
      <c r="I188" s="341"/>
      <c r="J188" s="5"/>
      <c r="K188" s="5"/>
      <c r="L188" s="5"/>
      <c r="M188" s="5"/>
      <c r="N188" s="5"/>
      <c r="O188" s="304"/>
    </row>
    <row r="189" spans="1:15" ht="15.75" thickBot="1" x14ac:dyDescent="0.3">
      <c r="A189" s="129">
        <f t="shared" si="6"/>
        <v>178</v>
      </c>
      <c r="B189" s="547"/>
      <c r="C189" s="605"/>
      <c r="D189" s="156" t="s">
        <v>293</v>
      </c>
      <c r="E189" s="389"/>
      <c r="F189" s="31" t="s">
        <v>21</v>
      </c>
      <c r="G189" s="383">
        <v>46083</v>
      </c>
      <c r="H189" s="381"/>
      <c r="I189" s="341"/>
      <c r="J189" s="5"/>
      <c r="K189" s="5"/>
      <c r="L189" s="5"/>
      <c r="M189" s="5"/>
      <c r="N189" s="5"/>
      <c r="O189" s="304"/>
    </row>
    <row r="190" spans="1:15" ht="15.75" thickBot="1" x14ac:dyDescent="0.3">
      <c r="A190" s="129">
        <f t="shared" si="6"/>
        <v>179</v>
      </c>
      <c r="B190" s="547"/>
      <c r="C190" s="605"/>
      <c r="D190" s="156" t="s">
        <v>294</v>
      </c>
      <c r="E190" s="389"/>
      <c r="F190" s="31" t="s">
        <v>21</v>
      </c>
      <c r="G190" s="383">
        <v>46083</v>
      </c>
      <c r="H190" s="381"/>
      <c r="I190" s="341"/>
      <c r="J190" s="5"/>
      <c r="K190" s="5"/>
      <c r="L190" s="5"/>
      <c r="M190" s="5"/>
      <c r="N190" s="5"/>
      <c r="O190" s="304"/>
    </row>
    <row r="191" spans="1:15" ht="15.75" thickBot="1" x14ac:dyDescent="0.3">
      <c r="A191" s="129">
        <f t="shared" si="6"/>
        <v>180</v>
      </c>
      <c r="B191" s="603"/>
      <c r="C191" s="606"/>
      <c r="D191" s="48" t="s">
        <v>295</v>
      </c>
      <c r="E191" s="103"/>
      <c r="F191" s="72" t="s">
        <v>21</v>
      </c>
      <c r="G191" s="118">
        <v>46083</v>
      </c>
      <c r="H191" s="381"/>
      <c r="I191" s="74"/>
      <c r="J191" s="5"/>
      <c r="K191" s="5"/>
      <c r="L191" s="5"/>
      <c r="M191" s="5"/>
      <c r="N191" s="5"/>
      <c r="O191" s="304"/>
    </row>
    <row r="192" spans="1:15" ht="18" customHeight="1" thickBot="1" x14ac:dyDescent="0.3">
      <c r="A192" s="129">
        <f t="shared" si="6"/>
        <v>181</v>
      </c>
      <c r="B192" s="550" t="s">
        <v>296</v>
      </c>
      <c r="C192" s="607" t="s">
        <v>77</v>
      </c>
      <c r="D192" s="117" t="s">
        <v>297</v>
      </c>
      <c r="E192" s="147"/>
      <c r="F192" s="64" t="s">
        <v>21</v>
      </c>
      <c r="G192" s="557">
        <v>46081</v>
      </c>
      <c r="H192" s="64"/>
      <c r="I192" s="65"/>
      <c r="J192" s="5"/>
      <c r="K192" s="5"/>
      <c r="L192" s="5"/>
      <c r="M192" s="5"/>
      <c r="N192" s="5"/>
      <c r="O192" s="304"/>
    </row>
    <row r="193" spans="1:15" ht="15.75" thickBot="1" x14ac:dyDescent="0.3">
      <c r="A193" s="129">
        <f t="shared" si="6"/>
        <v>182</v>
      </c>
      <c r="B193" s="547"/>
      <c r="C193" s="608"/>
      <c r="D193" s="329" t="s">
        <v>298</v>
      </c>
      <c r="E193" s="389"/>
      <c r="F193" s="31"/>
      <c r="G193" s="562"/>
      <c r="H193" s="331"/>
      <c r="I193" s="341"/>
      <c r="J193" s="5"/>
      <c r="K193" s="5"/>
      <c r="L193" s="5"/>
      <c r="M193" s="5"/>
      <c r="N193" s="5"/>
      <c r="O193" s="304"/>
    </row>
    <row r="194" spans="1:15" ht="15.75" thickBot="1" x14ac:dyDescent="0.3">
      <c r="A194" s="129">
        <f t="shared" si="6"/>
        <v>183</v>
      </c>
      <c r="B194" s="547"/>
      <c r="C194" s="608"/>
      <c r="D194" s="119" t="s">
        <v>299</v>
      </c>
      <c r="E194" s="389"/>
      <c r="F194" s="404"/>
      <c r="G194" s="562"/>
      <c r="H194" s="31"/>
      <c r="I194" s="341"/>
      <c r="J194" s="5"/>
      <c r="K194" s="5"/>
      <c r="L194" s="5"/>
      <c r="M194" s="5"/>
      <c r="N194" s="5"/>
      <c r="O194" s="304"/>
    </row>
    <row r="195" spans="1:15" ht="15.75" thickBot="1" x14ac:dyDescent="0.3">
      <c r="A195" s="129">
        <f t="shared" si="6"/>
        <v>184</v>
      </c>
      <c r="B195" s="547"/>
      <c r="C195" s="609"/>
      <c r="D195" s="119" t="s">
        <v>300</v>
      </c>
      <c r="E195" s="389"/>
      <c r="F195" s="356"/>
      <c r="G195" s="563"/>
      <c r="H195" s="356"/>
      <c r="I195" s="341"/>
      <c r="J195" s="5"/>
      <c r="K195" s="5"/>
      <c r="L195" s="5"/>
      <c r="M195" s="5"/>
      <c r="N195" s="5"/>
      <c r="O195" s="390"/>
    </row>
    <row r="196" spans="1:15" ht="24.75" thickBot="1" x14ac:dyDescent="0.3">
      <c r="A196" s="129">
        <f t="shared" si="6"/>
        <v>185</v>
      </c>
      <c r="B196" s="547"/>
      <c r="C196" s="171" t="s">
        <v>301</v>
      </c>
      <c r="D196" s="157" t="s">
        <v>89</v>
      </c>
      <c r="E196" s="99"/>
      <c r="F196" s="158" t="s">
        <v>247</v>
      </c>
      <c r="G196" s="159"/>
      <c r="H196" s="158" t="s">
        <v>302</v>
      </c>
      <c r="I196" s="150"/>
      <c r="J196" s="362"/>
      <c r="K196" s="362"/>
      <c r="L196" s="362"/>
      <c r="M196" s="362"/>
      <c r="N196" s="151"/>
      <c r="O196" s="318"/>
    </row>
    <row r="197" spans="1:15" ht="36.75" customHeight="1" thickBot="1" x14ac:dyDescent="0.3">
      <c r="A197" s="129">
        <f t="shared" si="6"/>
        <v>186</v>
      </c>
      <c r="B197" s="547"/>
      <c r="C197" s="95" t="s">
        <v>60</v>
      </c>
      <c r="D197" s="52" t="s">
        <v>82</v>
      </c>
      <c r="E197" s="337"/>
      <c r="F197" s="99" t="s">
        <v>21</v>
      </c>
      <c r="G197" s="99" t="s">
        <v>303</v>
      </c>
      <c r="H197" s="99" t="s">
        <v>21</v>
      </c>
      <c r="I197" s="341"/>
      <c r="J197" s="5"/>
      <c r="K197" s="5"/>
      <c r="L197" s="5"/>
      <c r="M197" s="5"/>
      <c r="N197" s="5"/>
      <c r="O197" s="321"/>
    </row>
    <row r="198" spans="1:15" ht="15.75" thickBot="1" x14ac:dyDescent="0.3">
      <c r="A198" s="129">
        <f t="shared" si="6"/>
        <v>187</v>
      </c>
      <c r="B198" s="547"/>
      <c r="C198" s="405" t="s">
        <v>47</v>
      </c>
      <c r="D198" s="360" t="s">
        <v>84</v>
      </c>
      <c r="E198" s="348"/>
      <c r="F198" s="31"/>
      <c r="G198" s="331"/>
      <c r="H198" s="356"/>
      <c r="I198" s="26"/>
      <c r="J198" s="5"/>
      <c r="K198" s="5"/>
      <c r="L198" s="5"/>
      <c r="M198" s="5"/>
      <c r="N198" s="5"/>
      <c r="O198" s="390"/>
    </row>
    <row r="199" spans="1:15" ht="15.75" thickBot="1" x14ac:dyDescent="0.3">
      <c r="A199" s="129">
        <f t="shared" si="6"/>
        <v>188</v>
      </c>
      <c r="B199" s="549"/>
      <c r="C199" s="85" t="s">
        <v>79</v>
      </c>
      <c r="D199" s="86" t="s">
        <v>80</v>
      </c>
      <c r="E199" s="87"/>
      <c r="F199" s="169" t="s">
        <v>81</v>
      </c>
      <c r="G199" s="149"/>
      <c r="H199" s="143" t="s">
        <v>14</v>
      </c>
      <c r="I199" s="150"/>
      <c r="J199" s="362"/>
      <c r="K199" s="362"/>
      <c r="L199" s="362"/>
      <c r="M199" s="362"/>
      <c r="N199" s="151"/>
      <c r="O199" s="312" t="s">
        <v>15</v>
      </c>
    </row>
    <row r="200" spans="1:15" ht="15" customHeight="1" thickBot="1" x14ac:dyDescent="0.3">
      <c r="A200" s="129">
        <f t="shared" si="6"/>
        <v>189</v>
      </c>
      <c r="B200" s="576" t="s">
        <v>304</v>
      </c>
      <c r="C200" s="552" t="s">
        <v>128</v>
      </c>
      <c r="D200" s="323" t="s">
        <v>92</v>
      </c>
      <c r="E200" s="335"/>
      <c r="F200" s="335"/>
      <c r="G200" s="557">
        <v>46081</v>
      </c>
      <c r="H200" s="335"/>
      <c r="I200" s="336"/>
      <c r="J200" s="5"/>
      <c r="K200" s="5"/>
      <c r="L200" s="5"/>
      <c r="M200" s="5"/>
      <c r="N200" s="5"/>
      <c r="O200" s="321"/>
    </row>
    <row r="201" spans="1:15" ht="15.75" thickBot="1" x14ac:dyDescent="0.3">
      <c r="A201" s="129">
        <f t="shared" si="6"/>
        <v>190</v>
      </c>
      <c r="B201" s="576"/>
      <c r="C201" s="552"/>
      <c r="D201" s="44" t="s">
        <v>305</v>
      </c>
      <c r="E201" s="335"/>
      <c r="F201" s="13"/>
      <c r="G201" s="557"/>
      <c r="H201" s="13"/>
      <c r="I201" s="53"/>
      <c r="J201" s="5"/>
      <c r="K201" s="5"/>
      <c r="L201" s="5"/>
      <c r="M201" s="5"/>
      <c r="N201" s="5"/>
      <c r="O201" s="304"/>
    </row>
    <row r="202" spans="1:15" ht="15.75" thickBot="1" x14ac:dyDescent="0.3">
      <c r="A202" s="129">
        <f t="shared" si="6"/>
        <v>191</v>
      </c>
      <c r="B202" s="576"/>
      <c r="C202" s="552"/>
      <c r="D202" s="156" t="s">
        <v>306</v>
      </c>
      <c r="E202" s="335"/>
      <c r="F202" s="13"/>
      <c r="G202" s="557"/>
      <c r="H202" s="13"/>
      <c r="I202" s="339"/>
      <c r="J202" s="5"/>
      <c r="K202" s="5"/>
      <c r="L202" s="5"/>
      <c r="M202" s="5"/>
      <c r="N202" s="5"/>
      <c r="O202" s="304"/>
    </row>
    <row r="203" spans="1:15" ht="15.75" thickBot="1" x14ac:dyDescent="0.3">
      <c r="A203" s="129">
        <f t="shared" si="6"/>
        <v>192</v>
      </c>
      <c r="B203" s="586"/>
      <c r="C203" s="587"/>
      <c r="D203" s="35" t="s">
        <v>94</v>
      </c>
      <c r="E203" s="51"/>
      <c r="F203" s="37"/>
      <c r="G203" s="579"/>
      <c r="H203" s="37"/>
      <c r="I203" s="112"/>
      <c r="J203" s="5"/>
      <c r="K203" s="5"/>
      <c r="L203" s="5"/>
      <c r="M203" s="5"/>
      <c r="N203" s="5"/>
      <c r="O203" s="304"/>
    </row>
    <row r="204" spans="1:15" ht="30.75" customHeight="1" thickBot="1" x14ac:dyDescent="0.3">
      <c r="A204" s="129">
        <f t="shared" si="6"/>
        <v>193</v>
      </c>
      <c r="B204" s="575" t="s">
        <v>145</v>
      </c>
      <c r="C204" s="564" t="s">
        <v>307</v>
      </c>
      <c r="D204" s="23" t="s">
        <v>308</v>
      </c>
      <c r="E204" s="25"/>
      <c r="F204" s="564" t="s">
        <v>247</v>
      </c>
      <c r="G204" s="25"/>
      <c r="H204" s="572" t="s">
        <v>91</v>
      </c>
      <c r="I204" s="65"/>
      <c r="J204" s="5"/>
      <c r="K204" s="5"/>
      <c r="L204" s="5"/>
      <c r="M204" s="5"/>
      <c r="N204" s="5"/>
      <c r="O204" s="304"/>
    </row>
    <row r="205" spans="1:15" ht="15.75" thickBot="1" x14ac:dyDescent="0.3">
      <c r="A205" s="129">
        <f t="shared" si="6"/>
        <v>194</v>
      </c>
      <c r="B205" s="576"/>
      <c r="C205" s="566"/>
      <c r="D205" s="157" t="s">
        <v>309</v>
      </c>
      <c r="E205" s="99"/>
      <c r="F205" s="566"/>
      <c r="G205" s="99"/>
      <c r="H205" s="581"/>
      <c r="I205" s="341"/>
      <c r="J205" s="5"/>
      <c r="K205" s="5"/>
      <c r="L205" s="5"/>
      <c r="M205" s="5"/>
      <c r="N205" s="5"/>
      <c r="O205" s="304"/>
    </row>
    <row r="206" spans="1:15" ht="24.75" thickBot="1" x14ac:dyDescent="0.3">
      <c r="A206" s="129">
        <f t="shared" si="6"/>
        <v>195</v>
      </c>
      <c r="B206" s="576"/>
      <c r="C206" s="172" t="s">
        <v>146</v>
      </c>
      <c r="D206" s="365" t="s">
        <v>147</v>
      </c>
      <c r="E206" s="337"/>
      <c r="F206" s="99" t="s">
        <v>310</v>
      </c>
      <c r="G206" s="99"/>
      <c r="H206" s="29" t="s">
        <v>91</v>
      </c>
      <c r="I206" s="26"/>
      <c r="J206" s="5"/>
      <c r="K206" s="5"/>
      <c r="L206" s="5"/>
      <c r="M206" s="5"/>
      <c r="N206" s="5"/>
      <c r="O206" s="304"/>
    </row>
    <row r="207" spans="1:15" ht="15.75" thickBot="1" x14ac:dyDescent="0.3">
      <c r="A207" s="129">
        <f t="shared" si="6"/>
        <v>196</v>
      </c>
      <c r="B207" s="548"/>
      <c r="C207" s="555" t="s">
        <v>45</v>
      </c>
      <c r="D207" s="44" t="s">
        <v>151</v>
      </c>
      <c r="E207" s="13"/>
      <c r="F207" s="13"/>
      <c r="G207" s="160">
        <v>46084</v>
      </c>
      <c r="H207" s="31"/>
      <c r="I207" s="26"/>
      <c r="J207" s="5"/>
      <c r="K207" s="5"/>
      <c r="L207" s="5"/>
      <c r="M207" s="5"/>
      <c r="N207" s="5"/>
      <c r="O207" s="304"/>
    </row>
    <row r="208" spans="1:15" ht="24.75" thickBot="1" x14ac:dyDescent="0.3">
      <c r="A208" s="129">
        <f t="shared" si="6"/>
        <v>197</v>
      </c>
      <c r="B208" s="576"/>
      <c r="C208" s="552"/>
      <c r="D208" s="44" t="s">
        <v>152</v>
      </c>
      <c r="E208" s="322"/>
      <c r="F208" s="335"/>
      <c r="G208" s="160">
        <v>46084</v>
      </c>
      <c r="H208" s="331"/>
      <c r="I208" s="341"/>
      <c r="J208" s="5"/>
      <c r="K208" s="5"/>
      <c r="L208" s="5"/>
      <c r="M208" s="5"/>
      <c r="N208" s="5"/>
      <c r="O208" s="304"/>
    </row>
    <row r="209" spans="1:15" ht="23.25" customHeight="1" thickBot="1" x14ac:dyDescent="0.3">
      <c r="A209" s="129">
        <f t="shared" si="6"/>
        <v>198</v>
      </c>
      <c r="B209" s="576"/>
      <c r="C209" s="552"/>
      <c r="D209" s="323" t="s">
        <v>311</v>
      </c>
      <c r="E209" s="55"/>
      <c r="F209" s="13"/>
      <c r="G209" s="160">
        <v>46084</v>
      </c>
      <c r="H209" s="31"/>
      <c r="I209" s="341"/>
      <c r="J209" s="5"/>
      <c r="K209" s="5"/>
      <c r="L209" s="5"/>
      <c r="M209" s="5"/>
      <c r="N209" s="5"/>
      <c r="O209" s="304"/>
    </row>
    <row r="210" spans="1:15" ht="15.75" thickBot="1" x14ac:dyDescent="0.3">
      <c r="A210" s="129">
        <f t="shared" si="6"/>
        <v>199</v>
      </c>
      <c r="B210" s="576"/>
      <c r="C210" s="552"/>
      <c r="D210" s="44" t="s">
        <v>257</v>
      </c>
      <c r="E210" s="322"/>
      <c r="F210" s="13"/>
      <c r="G210" s="160">
        <v>46084</v>
      </c>
      <c r="H210" s="31"/>
      <c r="I210" s="341"/>
      <c r="J210" s="5"/>
      <c r="K210" s="5"/>
      <c r="L210" s="5"/>
      <c r="M210" s="5"/>
      <c r="N210" s="5"/>
      <c r="O210" s="304"/>
    </row>
    <row r="211" spans="1:15" ht="15.75" thickBot="1" x14ac:dyDescent="0.3">
      <c r="A211" s="129">
        <f t="shared" si="6"/>
        <v>200</v>
      </c>
      <c r="B211" s="576"/>
      <c r="C211" s="552"/>
      <c r="D211" s="44" t="s">
        <v>312</v>
      </c>
      <c r="E211" s="322"/>
      <c r="F211" s="13"/>
      <c r="G211" s="160">
        <v>46084</v>
      </c>
      <c r="H211" s="31"/>
      <c r="I211" s="341"/>
      <c r="J211" s="5"/>
      <c r="K211" s="5"/>
      <c r="L211" s="5"/>
      <c r="M211" s="5"/>
      <c r="N211" s="5"/>
      <c r="O211" s="304"/>
    </row>
    <row r="212" spans="1:15" ht="15.75" thickBot="1" x14ac:dyDescent="0.3">
      <c r="A212" s="129">
        <f t="shared" si="6"/>
        <v>201</v>
      </c>
      <c r="B212" s="576"/>
      <c r="C212" s="68" t="s">
        <v>169</v>
      </c>
      <c r="D212" s="119" t="s">
        <v>170</v>
      </c>
      <c r="E212" s="68"/>
      <c r="F212" s="316" t="s">
        <v>21</v>
      </c>
      <c r="G212" s="332">
        <v>46081</v>
      </c>
      <c r="H212" s="356"/>
      <c r="I212" s="341"/>
      <c r="J212" s="5"/>
      <c r="K212" s="5"/>
      <c r="L212" s="5"/>
      <c r="M212" s="5"/>
      <c r="N212" s="5"/>
      <c r="O212" s="390"/>
    </row>
    <row r="213" spans="1:15" ht="15.75" thickBot="1" x14ac:dyDescent="0.3">
      <c r="A213" s="129">
        <f t="shared" si="6"/>
        <v>202</v>
      </c>
      <c r="B213" s="576"/>
      <c r="C213" s="596" t="s">
        <v>161</v>
      </c>
      <c r="D213" s="67" t="s">
        <v>313</v>
      </c>
      <c r="E213" s="308"/>
      <c r="F213" s="143" t="s">
        <v>81</v>
      </c>
      <c r="G213" s="198"/>
      <c r="H213" s="143" t="s">
        <v>14</v>
      </c>
      <c r="I213" s="150"/>
      <c r="J213" s="362"/>
      <c r="K213" s="362"/>
      <c r="L213" s="362"/>
      <c r="M213" s="362"/>
      <c r="N213" s="151"/>
      <c r="O213" s="312" t="s">
        <v>15</v>
      </c>
    </row>
    <row r="214" spans="1:15" ht="15.75" thickBot="1" x14ac:dyDescent="0.3">
      <c r="A214" s="129">
        <f t="shared" si="6"/>
        <v>203</v>
      </c>
      <c r="B214" s="586"/>
      <c r="C214" s="610"/>
      <c r="D214" s="161" t="s">
        <v>314</v>
      </c>
      <c r="E214" s="162"/>
      <c r="F214" s="143" t="s">
        <v>81</v>
      </c>
      <c r="G214" s="198"/>
      <c r="H214" s="143" t="s">
        <v>14</v>
      </c>
      <c r="I214" s="150"/>
      <c r="J214" s="362"/>
      <c r="K214" s="362"/>
      <c r="L214" s="362"/>
      <c r="M214" s="362"/>
      <c r="N214" s="151"/>
      <c r="O214" s="312" t="s">
        <v>15</v>
      </c>
    </row>
    <row r="215" spans="1:15" ht="24.75" thickBot="1" x14ac:dyDescent="0.3">
      <c r="A215" s="475">
        <f t="shared" si="6"/>
        <v>204</v>
      </c>
      <c r="B215" s="81" t="s">
        <v>180</v>
      </c>
      <c r="C215" s="127" t="s">
        <v>315</v>
      </c>
      <c r="D215" s="408" t="s">
        <v>316</v>
      </c>
      <c r="E215" s="427"/>
      <c r="F215" s="396"/>
      <c r="G215" s="374">
        <v>46081</v>
      </c>
      <c r="H215" s="396"/>
      <c r="I215" s="476"/>
      <c r="J215" s="442"/>
      <c r="K215" s="442"/>
      <c r="L215" s="442"/>
      <c r="M215" s="442"/>
      <c r="N215" s="442"/>
      <c r="O215" s="411"/>
    </row>
    <row r="216" spans="1:15" ht="15.75" thickBot="1" x14ac:dyDescent="0.3">
      <c r="A216" s="164"/>
      <c r="B216" s="544" t="s">
        <v>317</v>
      </c>
      <c r="C216" s="545"/>
      <c r="D216" s="611"/>
      <c r="E216" s="130"/>
      <c r="F216" s="131"/>
      <c r="G216" s="130"/>
      <c r="H216" s="204"/>
      <c r="I216" s="132"/>
      <c r="J216" s="444"/>
      <c r="K216" s="444"/>
      <c r="L216" s="444"/>
      <c r="M216" s="444"/>
      <c r="N216" s="444"/>
      <c r="O216" s="445"/>
    </row>
    <row r="217" spans="1:15" ht="21.75" customHeight="1" x14ac:dyDescent="0.25">
      <c r="A217" s="477">
        <f>A215+1</f>
        <v>205</v>
      </c>
      <c r="B217" s="547" t="s">
        <v>318</v>
      </c>
      <c r="C217" s="419" t="s">
        <v>319</v>
      </c>
      <c r="D217" s="420" t="s">
        <v>35</v>
      </c>
      <c r="E217" s="421"/>
      <c r="F217" s="197" t="s">
        <v>81</v>
      </c>
      <c r="G217" s="198"/>
      <c r="H217" s="197" t="s">
        <v>14</v>
      </c>
      <c r="I217" s="150"/>
      <c r="J217" s="362"/>
      <c r="K217" s="362"/>
      <c r="L217" s="362"/>
      <c r="M217" s="362"/>
      <c r="N217" s="151"/>
      <c r="O217" s="464" t="s">
        <v>15</v>
      </c>
    </row>
    <row r="218" spans="1:15" ht="24.75" customHeight="1" x14ac:dyDescent="0.25">
      <c r="A218" s="168">
        <f t="shared" ref="A218:A250" si="7">A217+1</f>
        <v>206</v>
      </c>
      <c r="B218" s="547"/>
      <c r="C218" s="560" t="s">
        <v>285</v>
      </c>
      <c r="D218" s="354" t="s">
        <v>320</v>
      </c>
      <c r="E218" s="328"/>
      <c r="F218" s="389" t="s">
        <v>21</v>
      </c>
      <c r="G218" s="331"/>
      <c r="H218" s="331"/>
      <c r="I218" s="341"/>
      <c r="J218" s="5"/>
      <c r="K218" s="5"/>
      <c r="L218" s="5"/>
      <c r="M218" s="5"/>
      <c r="N218" s="5"/>
      <c r="O218" s="321"/>
    </row>
    <row r="219" spans="1:15" ht="15.75" thickBot="1" x14ac:dyDescent="0.3">
      <c r="A219" s="168">
        <f t="shared" si="7"/>
        <v>207</v>
      </c>
      <c r="B219" s="549"/>
      <c r="C219" s="574"/>
      <c r="D219" s="70" t="s">
        <v>321</v>
      </c>
      <c r="E219" s="20"/>
      <c r="F219" s="103" t="s">
        <v>21</v>
      </c>
      <c r="G219" s="73"/>
      <c r="H219" s="72"/>
      <c r="I219" s="74"/>
      <c r="J219" s="5"/>
      <c r="K219" s="5"/>
      <c r="L219" s="5"/>
      <c r="M219" s="5"/>
      <c r="N219" s="5"/>
      <c r="O219" s="304"/>
    </row>
    <row r="220" spans="1:15" ht="27.75" customHeight="1" x14ac:dyDescent="0.25">
      <c r="A220" s="168">
        <f t="shared" si="7"/>
        <v>208</v>
      </c>
      <c r="B220" s="547" t="s">
        <v>322</v>
      </c>
      <c r="C220" s="560" t="s">
        <v>285</v>
      </c>
      <c r="D220" s="354" t="s">
        <v>323</v>
      </c>
      <c r="E220" s="328"/>
      <c r="F220" s="331"/>
      <c r="G220" s="331"/>
      <c r="H220" s="331"/>
      <c r="I220" s="341"/>
      <c r="J220" s="5"/>
      <c r="K220" s="5"/>
      <c r="L220" s="5"/>
      <c r="M220" s="5"/>
      <c r="N220" s="5"/>
      <c r="O220" s="304"/>
    </row>
    <row r="221" spans="1:15" x14ac:dyDescent="0.25">
      <c r="A221" s="168">
        <f t="shared" si="7"/>
        <v>209</v>
      </c>
      <c r="B221" s="547"/>
      <c r="C221" s="561"/>
      <c r="D221" s="69" t="s">
        <v>324</v>
      </c>
      <c r="E221" s="122"/>
      <c r="F221" s="31"/>
      <c r="G221" s="331"/>
      <c r="H221" s="31"/>
      <c r="I221" s="26"/>
      <c r="J221" s="5"/>
      <c r="K221" s="5"/>
      <c r="L221" s="5"/>
      <c r="M221" s="5"/>
      <c r="N221" s="5"/>
      <c r="O221" s="304"/>
    </row>
    <row r="222" spans="1:15" ht="22.5" customHeight="1" x14ac:dyDescent="0.25">
      <c r="A222" s="168">
        <f t="shared" si="7"/>
        <v>210</v>
      </c>
      <c r="B222" s="548"/>
      <c r="C222" s="555" t="s">
        <v>45</v>
      </c>
      <c r="D222" s="156" t="s">
        <v>325</v>
      </c>
      <c r="E222" s="31"/>
      <c r="F222" s="31"/>
      <c r="G222" s="160">
        <v>46082</v>
      </c>
      <c r="H222" s="31"/>
      <c r="I222" s="26"/>
      <c r="J222" s="5"/>
      <c r="K222" s="5"/>
      <c r="L222" s="5"/>
      <c r="M222" s="5"/>
      <c r="N222" s="5"/>
      <c r="O222" s="304"/>
    </row>
    <row r="223" spans="1:15" x14ac:dyDescent="0.25">
      <c r="A223" s="168">
        <f t="shared" si="7"/>
        <v>211</v>
      </c>
      <c r="B223" s="547"/>
      <c r="C223" s="552"/>
      <c r="D223" s="323" t="s">
        <v>326</v>
      </c>
      <c r="E223" s="331"/>
      <c r="F223" s="31"/>
      <c r="G223" s="160">
        <v>46082</v>
      </c>
      <c r="H223" s="31"/>
      <c r="I223" s="53"/>
      <c r="J223" s="5"/>
      <c r="K223" s="5"/>
      <c r="L223" s="5"/>
      <c r="M223" s="5"/>
      <c r="N223" s="5"/>
      <c r="O223" s="304"/>
    </row>
    <row r="224" spans="1:15" ht="15.75" thickBot="1" x14ac:dyDescent="0.3">
      <c r="A224" s="168">
        <f t="shared" si="7"/>
        <v>212</v>
      </c>
      <c r="B224" s="549"/>
      <c r="C224" s="587"/>
      <c r="D224" s="35" t="s">
        <v>327</v>
      </c>
      <c r="E224" s="73"/>
      <c r="F224" s="356"/>
      <c r="G224" s="160">
        <v>46082</v>
      </c>
      <c r="H224" s="356"/>
      <c r="I224" s="74"/>
      <c r="J224" s="5"/>
      <c r="K224" s="5"/>
      <c r="L224" s="5"/>
      <c r="M224" s="5"/>
      <c r="N224" s="5"/>
      <c r="O224" s="390"/>
    </row>
    <row r="225" spans="1:15" ht="21" customHeight="1" x14ac:dyDescent="0.25">
      <c r="A225" s="168">
        <f t="shared" si="7"/>
        <v>213</v>
      </c>
      <c r="B225" s="575" t="s">
        <v>328</v>
      </c>
      <c r="C225" s="148" t="s">
        <v>319</v>
      </c>
      <c r="D225" s="401" t="s">
        <v>329</v>
      </c>
      <c r="E225" s="305"/>
      <c r="F225" s="143" t="s">
        <v>81</v>
      </c>
      <c r="G225" s="198"/>
      <c r="H225" s="143" t="s">
        <v>14</v>
      </c>
      <c r="I225" s="150"/>
      <c r="J225" s="362"/>
      <c r="K225" s="362"/>
      <c r="L225" s="362"/>
      <c r="M225" s="362"/>
      <c r="N225" s="151"/>
      <c r="O225" s="312" t="s">
        <v>15</v>
      </c>
    </row>
    <row r="226" spans="1:15" ht="24" x14ac:dyDescent="0.25">
      <c r="A226" s="168">
        <f t="shared" si="7"/>
        <v>214</v>
      </c>
      <c r="B226" s="576"/>
      <c r="C226" s="171" t="s">
        <v>307</v>
      </c>
      <c r="D226" s="157" t="s">
        <v>330</v>
      </c>
      <c r="E226" s="29"/>
      <c r="F226" s="172" t="s">
        <v>247</v>
      </c>
      <c r="G226" s="99"/>
      <c r="H226" s="172" t="s">
        <v>91</v>
      </c>
      <c r="I226" s="54"/>
      <c r="J226" s="5"/>
      <c r="K226" s="5"/>
      <c r="L226" s="5"/>
      <c r="M226" s="5"/>
      <c r="N226" s="5"/>
      <c r="O226" s="321"/>
    </row>
    <row r="227" spans="1:15" ht="22.5" customHeight="1" x14ac:dyDescent="0.25">
      <c r="A227" s="168">
        <f t="shared" si="7"/>
        <v>215</v>
      </c>
      <c r="B227" s="576"/>
      <c r="C227" s="596" t="s">
        <v>161</v>
      </c>
      <c r="D227" s="309" t="s">
        <v>331</v>
      </c>
      <c r="E227" s="310"/>
      <c r="F227" s="596" t="s">
        <v>81</v>
      </c>
      <c r="G227" s="613"/>
      <c r="H227" s="596" t="s">
        <v>81</v>
      </c>
      <c r="I227" s="615" t="s">
        <v>38</v>
      </c>
      <c r="J227" s="5"/>
      <c r="K227" s="5"/>
      <c r="L227" s="5"/>
      <c r="M227" s="5"/>
      <c r="N227" s="5"/>
      <c r="O227" s="618" t="s">
        <v>15</v>
      </c>
    </row>
    <row r="228" spans="1:15" x14ac:dyDescent="0.25">
      <c r="A228" s="168">
        <f t="shared" si="7"/>
        <v>216</v>
      </c>
      <c r="B228" s="576"/>
      <c r="C228" s="597"/>
      <c r="D228" s="17" t="s">
        <v>332</v>
      </c>
      <c r="E228" s="10"/>
      <c r="F228" s="597"/>
      <c r="G228" s="613"/>
      <c r="H228" s="597"/>
      <c r="I228" s="616"/>
      <c r="J228" s="5"/>
      <c r="K228" s="5"/>
      <c r="L228" s="5"/>
      <c r="M228" s="5"/>
      <c r="N228" s="5"/>
      <c r="O228" s="619"/>
    </row>
    <row r="229" spans="1:15" x14ac:dyDescent="0.25">
      <c r="A229" s="168">
        <f t="shared" si="7"/>
        <v>217</v>
      </c>
      <c r="B229" s="576"/>
      <c r="C229" s="612"/>
      <c r="D229" s="17" t="s">
        <v>333</v>
      </c>
      <c r="E229" s="10"/>
      <c r="F229" s="612"/>
      <c r="G229" s="614"/>
      <c r="H229" s="612"/>
      <c r="I229" s="617"/>
      <c r="J229" s="5"/>
      <c r="K229" s="5"/>
      <c r="L229" s="5"/>
      <c r="M229" s="5"/>
      <c r="N229" s="5"/>
      <c r="O229" s="620"/>
    </row>
    <row r="230" spans="1:15" x14ac:dyDescent="0.25">
      <c r="A230" s="168">
        <f t="shared" si="7"/>
        <v>218</v>
      </c>
      <c r="B230" s="548"/>
      <c r="C230" s="555" t="s">
        <v>45</v>
      </c>
      <c r="D230" s="157" t="s">
        <v>334</v>
      </c>
      <c r="E230" s="29"/>
      <c r="F230" s="580" t="s">
        <v>335</v>
      </c>
      <c r="G230" s="582"/>
      <c r="H230" s="582" t="s">
        <v>150</v>
      </c>
      <c r="I230" s="26"/>
      <c r="J230" s="5"/>
      <c r="K230" s="5"/>
      <c r="L230" s="5"/>
      <c r="M230" s="5"/>
      <c r="N230" s="5"/>
      <c r="O230" s="304"/>
    </row>
    <row r="231" spans="1:15" x14ac:dyDescent="0.25">
      <c r="A231" s="168">
        <f t="shared" si="7"/>
        <v>219</v>
      </c>
      <c r="B231" s="576"/>
      <c r="C231" s="552"/>
      <c r="D231" s="327" t="s">
        <v>336</v>
      </c>
      <c r="E231" s="322"/>
      <c r="F231" s="566"/>
      <c r="G231" s="581"/>
      <c r="H231" s="581"/>
      <c r="I231" s="336"/>
      <c r="J231" s="5"/>
      <c r="K231" s="5"/>
      <c r="L231" s="5"/>
      <c r="M231" s="5"/>
      <c r="N231" s="5"/>
      <c r="O231" s="304"/>
    </row>
    <row r="232" spans="1:15" ht="24" x14ac:dyDescent="0.25">
      <c r="A232" s="168">
        <f t="shared" si="7"/>
        <v>220</v>
      </c>
      <c r="B232" s="576"/>
      <c r="C232" s="552"/>
      <c r="D232" s="334" t="s">
        <v>337</v>
      </c>
      <c r="E232" s="322"/>
      <c r="F232" s="335"/>
      <c r="G232" s="325">
        <v>46084</v>
      </c>
      <c r="H232" s="331"/>
      <c r="I232" s="341"/>
      <c r="J232" s="5"/>
      <c r="K232" s="5"/>
      <c r="L232" s="5"/>
      <c r="M232" s="5"/>
      <c r="N232" s="5"/>
      <c r="O232" s="304"/>
    </row>
    <row r="233" spans="1:15" ht="24" x14ac:dyDescent="0.25">
      <c r="A233" s="168">
        <f t="shared" si="7"/>
        <v>221</v>
      </c>
      <c r="B233" s="576"/>
      <c r="C233" s="552"/>
      <c r="D233" s="44" t="s">
        <v>258</v>
      </c>
      <c r="E233" s="322"/>
      <c r="F233" s="13"/>
      <c r="G233" s="325">
        <v>46084</v>
      </c>
      <c r="H233" s="31"/>
      <c r="I233" s="341"/>
      <c r="J233" s="5"/>
      <c r="K233" s="5"/>
      <c r="L233" s="5"/>
      <c r="M233" s="5"/>
      <c r="N233" s="5"/>
      <c r="O233" s="304"/>
    </row>
    <row r="234" spans="1:15" x14ac:dyDescent="0.25">
      <c r="A234" s="168">
        <f t="shared" si="7"/>
        <v>222</v>
      </c>
      <c r="B234" s="576"/>
      <c r="C234" s="552"/>
      <c r="D234" s="44" t="s">
        <v>257</v>
      </c>
      <c r="E234" s="322"/>
      <c r="F234" s="13"/>
      <c r="G234" s="325">
        <v>46084</v>
      </c>
      <c r="H234" s="31"/>
      <c r="I234" s="341"/>
      <c r="J234" s="5"/>
      <c r="K234" s="5"/>
      <c r="L234" s="5"/>
      <c r="M234" s="5"/>
      <c r="N234" s="5"/>
      <c r="O234" s="304"/>
    </row>
    <row r="235" spans="1:15" ht="24" x14ac:dyDescent="0.25">
      <c r="A235" s="168">
        <f t="shared" si="7"/>
        <v>223</v>
      </c>
      <c r="B235" s="576"/>
      <c r="C235" s="552"/>
      <c r="D235" s="44" t="s">
        <v>338</v>
      </c>
      <c r="E235" s="322"/>
      <c r="F235" s="13"/>
      <c r="G235" s="325">
        <v>46084</v>
      </c>
      <c r="H235" s="31"/>
      <c r="I235" s="341"/>
      <c r="J235" s="5"/>
      <c r="K235" s="5"/>
      <c r="L235" s="5"/>
      <c r="M235" s="5"/>
      <c r="N235" s="5"/>
      <c r="O235" s="304"/>
    </row>
    <row r="236" spans="1:15" ht="38.25" customHeight="1" x14ac:dyDescent="0.25">
      <c r="A236" s="168">
        <f t="shared" si="7"/>
        <v>224</v>
      </c>
      <c r="B236" s="576"/>
      <c r="C236" s="552"/>
      <c r="D236" s="44" t="s">
        <v>339</v>
      </c>
      <c r="E236" s="173"/>
      <c r="F236" s="13"/>
      <c r="G236" s="325">
        <v>46084</v>
      </c>
      <c r="H236" s="31"/>
      <c r="I236" s="26"/>
      <c r="J236" s="5"/>
      <c r="K236" s="5"/>
      <c r="L236" s="5"/>
      <c r="M236" s="5"/>
      <c r="N236" s="5"/>
      <c r="O236" s="304"/>
    </row>
    <row r="237" spans="1:15" ht="15.75" thickBot="1" x14ac:dyDescent="0.3">
      <c r="A237" s="168">
        <f t="shared" si="7"/>
        <v>225</v>
      </c>
      <c r="B237" s="586"/>
      <c r="C237" s="587"/>
      <c r="D237" s="48" t="s">
        <v>340</v>
      </c>
      <c r="E237" s="37"/>
      <c r="F237" s="37"/>
      <c r="G237" s="406">
        <v>46084</v>
      </c>
      <c r="H237" s="72"/>
      <c r="I237" s="104"/>
      <c r="J237" s="5"/>
      <c r="K237" s="5"/>
      <c r="L237" s="5"/>
      <c r="M237" s="5"/>
      <c r="N237" s="5"/>
      <c r="O237" s="304"/>
    </row>
    <row r="238" spans="1:15" x14ac:dyDescent="0.25">
      <c r="A238" s="168">
        <f t="shared" si="7"/>
        <v>226</v>
      </c>
      <c r="B238" s="550" t="s">
        <v>341</v>
      </c>
      <c r="C238" s="568" t="s">
        <v>165</v>
      </c>
      <c r="D238" s="62" t="s">
        <v>175</v>
      </c>
      <c r="E238" s="63"/>
      <c r="F238" s="64" t="s">
        <v>21</v>
      </c>
      <c r="G238" s="588" t="s">
        <v>342</v>
      </c>
      <c r="H238" s="61"/>
      <c r="I238" s="174"/>
      <c r="J238" s="5"/>
      <c r="K238" s="5"/>
      <c r="L238" s="5"/>
      <c r="M238" s="5"/>
      <c r="N238" s="5"/>
      <c r="O238" s="304"/>
    </row>
    <row r="239" spans="1:15" x14ac:dyDescent="0.25">
      <c r="A239" s="168">
        <f t="shared" si="7"/>
        <v>227</v>
      </c>
      <c r="B239" s="547"/>
      <c r="C239" s="560"/>
      <c r="D239" s="69" t="s">
        <v>176</v>
      </c>
      <c r="E239" s="100"/>
      <c r="F239" s="31" t="s">
        <v>21</v>
      </c>
      <c r="G239" s="589"/>
      <c r="H239" s="122"/>
      <c r="I239" s="339"/>
      <c r="J239" s="5"/>
      <c r="K239" s="5"/>
      <c r="L239" s="5"/>
      <c r="M239" s="5"/>
      <c r="N239" s="5"/>
      <c r="O239" s="304"/>
    </row>
    <row r="240" spans="1:15" ht="15.75" thickBot="1" x14ac:dyDescent="0.3">
      <c r="A240" s="168">
        <f t="shared" si="7"/>
        <v>228</v>
      </c>
      <c r="B240" s="549"/>
      <c r="C240" s="574"/>
      <c r="D240" s="21" t="s">
        <v>177</v>
      </c>
      <c r="E240" s="22"/>
      <c r="F240" s="72" t="s">
        <v>21</v>
      </c>
      <c r="G240" s="598"/>
      <c r="H240" s="175"/>
      <c r="I240" s="112"/>
      <c r="J240" s="5"/>
      <c r="K240" s="5"/>
      <c r="L240" s="5"/>
      <c r="M240" s="5"/>
      <c r="N240" s="5"/>
      <c r="O240" s="304"/>
    </row>
    <row r="241" spans="1:15" x14ac:dyDescent="0.25">
      <c r="A241" s="168">
        <f t="shared" si="7"/>
        <v>229</v>
      </c>
      <c r="B241" s="575" t="s">
        <v>343</v>
      </c>
      <c r="C241" s="568" t="s">
        <v>197</v>
      </c>
      <c r="D241" s="117" t="s">
        <v>190</v>
      </c>
      <c r="E241" s="64"/>
      <c r="F241" s="64"/>
      <c r="G241" s="557">
        <v>46081</v>
      </c>
      <c r="H241" s="64"/>
      <c r="I241" s="65"/>
      <c r="J241" s="5"/>
      <c r="K241" s="5"/>
      <c r="L241" s="5"/>
      <c r="M241" s="5"/>
      <c r="N241" s="5"/>
      <c r="O241" s="304"/>
    </row>
    <row r="242" spans="1:15" x14ac:dyDescent="0.25">
      <c r="A242" s="168">
        <f t="shared" si="7"/>
        <v>230</v>
      </c>
      <c r="B242" s="576"/>
      <c r="C242" s="560"/>
      <c r="D242" s="119" t="s">
        <v>344</v>
      </c>
      <c r="E242" s="331"/>
      <c r="F242" s="31"/>
      <c r="G242" s="557"/>
      <c r="H242" s="31"/>
      <c r="I242" s="341"/>
      <c r="J242" s="5"/>
      <c r="K242" s="5"/>
      <c r="L242" s="5"/>
      <c r="M242" s="5"/>
      <c r="N242" s="5"/>
      <c r="O242" s="304"/>
    </row>
    <row r="243" spans="1:15" x14ac:dyDescent="0.25">
      <c r="A243" s="168">
        <f t="shared" si="7"/>
        <v>231</v>
      </c>
      <c r="B243" s="576"/>
      <c r="C243" s="560"/>
      <c r="D243" s="69" t="s">
        <v>198</v>
      </c>
      <c r="E243" s="31"/>
      <c r="F243" s="31"/>
      <c r="G243" s="557"/>
      <c r="H243" s="31"/>
      <c r="I243" s="26"/>
      <c r="J243" s="5"/>
      <c r="K243" s="5"/>
      <c r="L243" s="5"/>
      <c r="M243" s="5"/>
      <c r="N243" s="5"/>
      <c r="O243" s="304"/>
    </row>
    <row r="244" spans="1:15" ht="15.75" thickBot="1" x14ac:dyDescent="0.3">
      <c r="A244" s="168">
        <f t="shared" si="7"/>
        <v>232</v>
      </c>
      <c r="B244" s="586"/>
      <c r="C244" s="574"/>
      <c r="D244" s="70" t="s">
        <v>201</v>
      </c>
      <c r="E244" s="72"/>
      <c r="F244" s="72"/>
      <c r="G244" s="579"/>
      <c r="H244" s="72"/>
      <c r="I244" s="104"/>
      <c r="J244" s="5"/>
      <c r="K244" s="5"/>
      <c r="L244" s="5"/>
      <c r="M244" s="5"/>
      <c r="N244" s="5"/>
      <c r="O244" s="304"/>
    </row>
    <row r="245" spans="1:15" x14ac:dyDescent="0.25">
      <c r="A245" s="168">
        <f t="shared" si="7"/>
        <v>233</v>
      </c>
      <c r="B245" s="375" t="s">
        <v>345</v>
      </c>
      <c r="C245" s="568" t="s">
        <v>206</v>
      </c>
      <c r="D245" s="62" t="s">
        <v>207</v>
      </c>
      <c r="E245" s="61"/>
      <c r="F245" s="64"/>
      <c r="G245" s="118">
        <v>46073</v>
      </c>
      <c r="H245" s="64"/>
      <c r="I245" s="65"/>
      <c r="J245" s="5"/>
      <c r="K245" s="5"/>
      <c r="L245" s="5"/>
      <c r="M245" s="5"/>
      <c r="N245" s="5"/>
      <c r="O245" s="304"/>
    </row>
    <row r="246" spans="1:15" ht="15.75" thickBot="1" x14ac:dyDescent="0.3">
      <c r="A246" s="168">
        <f t="shared" si="7"/>
        <v>234</v>
      </c>
      <c r="B246" s="376" t="s">
        <v>346</v>
      </c>
      <c r="C246" s="574"/>
      <c r="D246" s="101" t="s">
        <v>209</v>
      </c>
      <c r="E246" s="20"/>
      <c r="F246" s="72"/>
      <c r="G246" s="38">
        <v>46073</v>
      </c>
      <c r="H246" s="72"/>
      <c r="I246" s="74"/>
      <c r="J246" s="5"/>
      <c r="K246" s="5"/>
      <c r="L246" s="5"/>
      <c r="M246" s="5"/>
      <c r="N246" s="5"/>
      <c r="O246" s="304"/>
    </row>
    <row r="247" spans="1:15" x14ac:dyDescent="0.25">
      <c r="A247" s="168">
        <f t="shared" si="7"/>
        <v>235</v>
      </c>
      <c r="B247" s="375" t="s">
        <v>347</v>
      </c>
      <c r="C247" s="568" t="s">
        <v>211</v>
      </c>
      <c r="D247" s="62" t="s">
        <v>348</v>
      </c>
      <c r="E247" s="147"/>
      <c r="F247" s="64"/>
      <c r="G247" s="118">
        <v>46081</v>
      </c>
      <c r="H247" s="64"/>
      <c r="I247" s="65"/>
      <c r="J247" s="5"/>
      <c r="K247" s="5"/>
      <c r="L247" s="5"/>
      <c r="M247" s="5"/>
      <c r="N247" s="5"/>
      <c r="O247" s="304"/>
    </row>
    <row r="248" spans="1:15" ht="24" x14ac:dyDescent="0.25">
      <c r="A248" s="168">
        <f t="shared" si="7"/>
        <v>236</v>
      </c>
      <c r="B248" s="377" t="s">
        <v>349</v>
      </c>
      <c r="C248" s="560"/>
      <c r="D248" s="69" t="s">
        <v>214</v>
      </c>
      <c r="E248" s="389"/>
      <c r="F248" s="331"/>
      <c r="G248" s="331" t="s">
        <v>350</v>
      </c>
      <c r="H248" s="31"/>
      <c r="I248" s="341"/>
      <c r="J248" s="5"/>
      <c r="K248" s="5"/>
      <c r="L248" s="5"/>
      <c r="M248" s="5"/>
      <c r="N248" s="5"/>
      <c r="O248" s="304"/>
    </row>
    <row r="249" spans="1:15" ht="24.75" thickBot="1" x14ac:dyDescent="0.3">
      <c r="A249" s="168">
        <f t="shared" si="7"/>
        <v>237</v>
      </c>
      <c r="B249" s="376" t="s">
        <v>351</v>
      </c>
      <c r="C249" s="574"/>
      <c r="D249" s="101" t="s">
        <v>216</v>
      </c>
      <c r="E249" s="103"/>
      <c r="F249" s="373"/>
      <c r="G249" s="331" t="s">
        <v>350</v>
      </c>
      <c r="H249" s="356"/>
      <c r="I249" s="104"/>
      <c r="J249" s="5"/>
      <c r="K249" s="5"/>
      <c r="L249" s="5"/>
      <c r="M249" s="5"/>
      <c r="N249" s="5"/>
      <c r="O249" s="390"/>
    </row>
    <row r="250" spans="1:15" ht="24.75" thickBot="1" x14ac:dyDescent="0.3">
      <c r="A250" s="205">
        <f t="shared" si="7"/>
        <v>238</v>
      </c>
      <c r="B250" s="400" t="s">
        <v>352</v>
      </c>
      <c r="C250" s="148" t="s">
        <v>280</v>
      </c>
      <c r="D250" s="401" t="s">
        <v>220</v>
      </c>
      <c r="E250" s="305"/>
      <c r="F250" s="472" t="s">
        <v>81</v>
      </c>
      <c r="G250" s="196"/>
      <c r="H250" s="472" t="s">
        <v>14</v>
      </c>
      <c r="I250" s="473"/>
      <c r="J250" s="362"/>
      <c r="K250" s="362"/>
      <c r="L250" s="362"/>
      <c r="M250" s="362"/>
      <c r="N250" s="151"/>
      <c r="O250" s="474" t="s">
        <v>15</v>
      </c>
    </row>
    <row r="251" spans="1:15" ht="15.75" thickBot="1" x14ac:dyDescent="0.3">
      <c r="A251" s="164"/>
      <c r="B251" s="544" t="s">
        <v>353</v>
      </c>
      <c r="C251" s="545"/>
      <c r="D251" s="611"/>
      <c r="E251" s="130"/>
      <c r="F251" s="131"/>
      <c r="G251" s="130"/>
      <c r="H251" s="204"/>
      <c r="I251" s="132"/>
      <c r="J251" s="444"/>
      <c r="K251" s="444"/>
      <c r="L251" s="444"/>
      <c r="M251" s="444"/>
      <c r="N251" s="444"/>
      <c r="O251" s="445"/>
    </row>
    <row r="252" spans="1:15" x14ac:dyDescent="0.25">
      <c r="A252" s="205">
        <f>A250+1</f>
        <v>239</v>
      </c>
      <c r="B252" s="576" t="s">
        <v>354</v>
      </c>
      <c r="C252" s="560" t="s">
        <v>285</v>
      </c>
      <c r="D252" s="465" t="s">
        <v>355</v>
      </c>
      <c r="E252" s="373"/>
      <c r="F252" s="331" t="s">
        <v>21</v>
      </c>
      <c r="G252" s="562" t="s">
        <v>356</v>
      </c>
      <c r="H252" s="331"/>
      <c r="I252" s="418"/>
      <c r="J252" s="302"/>
      <c r="K252" s="302"/>
      <c r="L252" s="302"/>
      <c r="M252" s="302"/>
      <c r="N252" s="302"/>
      <c r="O252" s="321"/>
    </row>
    <row r="253" spans="1:15" x14ac:dyDescent="0.25">
      <c r="A253" s="446">
        <f t="shared" ref="A253:A281" si="8">A252+1</f>
        <v>240</v>
      </c>
      <c r="B253" s="576"/>
      <c r="C253" s="561"/>
      <c r="D253" s="119" t="s">
        <v>357</v>
      </c>
      <c r="E253" s="31"/>
      <c r="F253" s="31" t="s">
        <v>21</v>
      </c>
      <c r="G253" s="563"/>
      <c r="H253" s="31"/>
      <c r="I253" s="54"/>
      <c r="J253" s="5"/>
      <c r="K253" s="5"/>
      <c r="L253" s="5"/>
      <c r="M253" s="5"/>
      <c r="N253" s="5"/>
      <c r="O253" s="304"/>
    </row>
    <row r="254" spans="1:15" x14ac:dyDescent="0.25">
      <c r="A254" s="446">
        <f t="shared" si="8"/>
        <v>241</v>
      </c>
      <c r="B254" s="548"/>
      <c r="C254" s="555" t="s">
        <v>45</v>
      </c>
      <c r="D254" s="323" t="s">
        <v>358</v>
      </c>
      <c r="E254" s="335"/>
      <c r="F254" s="13"/>
      <c r="G254" s="332">
        <v>46086</v>
      </c>
      <c r="H254" s="31"/>
      <c r="I254" s="341"/>
      <c r="J254" s="5"/>
      <c r="K254" s="5"/>
      <c r="L254" s="5"/>
      <c r="M254" s="5"/>
      <c r="N254" s="5"/>
      <c r="O254" s="304"/>
    </row>
    <row r="255" spans="1:15" ht="24" x14ac:dyDescent="0.25">
      <c r="A255" s="446">
        <f t="shared" si="8"/>
        <v>242</v>
      </c>
      <c r="B255" s="576"/>
      <c r="C255" s="553"/>
      <c r="D255" s="44" t="s">
        <v>359</v>
      </c>
      <c r="E255" s="55"/>
      <c r="F255" s="13"/>
      <c r="G255" s="332">
        <v>46086</v>
      </c>
      <c r="H255" s="356"/>
      <c r="I255" s="54"/>
      <c r="J255" s="5"/>
      <c r="K255" s="5"/>
      <c r="L255" s="5"/>
      <c r="M255" s="5"/>
      <c r="N255" s="5"/>
      <c r="O255" s="304"/>
    </row>
    <row r="256" spans="1:15" ht="22.5" customHeight="1" x14ac:dyDescent="0.25">
      <c r="A256" s="446">
        <f t="shared" si="8"/>
        <v>243</v>
      </c>
      <c r="B256" s="576"/>
      <c r="C256" s="55" t="s">
        <v>60</v>
      </c>
      <c r="D256" s="315" t="s">
        <v>360</v>
      </c>
      <c r="E256" s="316"/>
      <c r="F256" s="13" t="s">
        <v>21</v>
      </c>
      <c r="G256" s="68" t="s">
        <v>361</v>
      </c>
      <c r="H256" s="356"/>
      <c r="I256" s="339"/>
      <c r="J256" s="5"/>
      <c r="K256" s="5"/>
      <c r="L256" s="5"/>
      <c r="M256" s="5"/>
      <c r="N256" s="5"/>
      <c r="O256" s="304"/>
    </row>
    <row r="257" spans="1:15" ht="15.75" thickBot="1" x14ac:dyDescent="0.3">
      <c r="A257" s="446">
        <f t="shared" si="8"/>
        <v>244</v>
      </c>
      <c r="B257" s="586"/>
      <c r="C257" s="179" t="s">
        <v>128</v>
      </c>
      <c r="D257" s="48" t="s">
        <v>362</v>
      </c>
      <c r="E257" s="37"/>
      <c r="F257" s="37"/>
      <c r="G257" s="38">
        <v>46081</v>
      </c>
      <c r="H257" s="37"/>
      <c r="I257" s="104"/>
      <c r="J257" s="5"/>
      <c r="K257" s="5"/>
      <c r="L257" s="5"/>
      <c r="M257" s="5"/>
      <c r="N257" s="5"/>
      <c r="O257" s="304"/>
    </row>
    <row r="258" spans="1:15" ht="24.75" thickBot="1" x14ac:dyDescent="0.3">
      <c r="A258" s="446">
        <f t="shared" si="8"/>
        <v>245</v>
      </c>
      <c r="B258" s="575" t="s">
        <v>363</v>
      </c>
      <c r="C258" s="551" t="s">
        <v>77</v>
      </c>
      <c r="D258" s="134" t="s">
        <v>364</v>
      </c>
      <c r="E258" s="42"/>
      <c r="F258" s="409" t="s">
        <v>21</v>
      </c>
      <c r="G258" s="569">
        <v>46084</v>
      </c>
      <c r="H258" s="64"/>
      <c r="I258" s="43"/>
      <c r="J258" s="5"/>
      <c r="K258" s="5"/>
      <c r="L258" s="5"/>
      <c r="M258" s="5"/>
      <c r="N258" s="5"/>
      <c r="O258" s="304"/>
    </row>
    <row r="259" spans="1:15" ht="15.75" thickBot="1" x14ac:dyDescent="0.3">
      <c r="A259" s="446">
        <f t="shared" si="8"/>
        <v>246</v>
      </c>
      <c r="B259" s="576"/>
      <c r="C259" s="552"/>
      <c r="D259" s="334" t="s">
        <v>365</v>
      </c>
      <c r="E259" s="322"/>
      <c r="F259" s="409" t="s">
        <v>21</v>
      </c>
      <c r="G259" s="562"/>
      <c r="H259" s="331"/>
      <c r="I259" s="341"/>
      <c r="J259" s="5"/>
      <c r="K259" s="5"/>
      <c r="L259" s="5"/>
      <c r="M259" s="5"/>
      <c r="N259" s="5"/>
      <c r="O259" s="304"/>
    </row>
    <row r="260" spans="1:15" x14ac:dyDescent="0.25">
      <c r="A260" s="446">
        <f t="shared" si="8"/>
        <v>247</v>
      </c>
      <c r="B260" s="576"/>
      <c r="C260" s="553"/>
      <c r="D260" s="334" t="s">
        <v>366</v>
      </c>
      <c r="E260" s="322"/>
      <c r="F260" s="135" t="s">
        <v>21</v>
      </c>
      <c r="G260" s="563"/>
      <c r="H260" s="331"/>
      <c r="I260" s="341"/>
      <c r="J260" s="5"/>
      <c r="K260" s="5"/>
      <c r="L260" s="5"/>
      <c r="M260" s="5"/>
      <c r="N260" s="5"/>
      <c r="O260" s="304"/>
    </row>
    <row r="261" spans="1:15" ht="23.25" customHeight="1" x14ac:dyDescent="0.25">
      <c r="A261" s="446">
        <f t="shared" si="8"/>
        <v>248</v>
      </c>
      <c r="B261" s="576"/>
      <c r="C261" s="322" t="s">
        <v>100</v>
      </c>
      <c r="D261" s="44" t="s">
        <v>367</v>
      </c>
      <c r="E261" s="322"/>
      <c r="F261" s="13"/>
      <c r="G261" s="331"/>
      <c r="H261" s="31"/>
      <c r="I261" s="341"/>
      <c r="J261" s="5"/>
      <c r="K261" s="5"/>
      <c r="L261" s="5"/>
      <c r="M261" s="5"/>
      <c r="N261" s="5"/>
      <c r="O261" s="304"/>
    </row>
    <row r="262" spans="1:15" ht="60" x14ac:dyDescent="0.25">
      <c r="A262" s="446">
        <f t="shared" si="8"/>
        <v>249</v>
      </c>
      <c r="B262" s="576"/>
      <c r="C262" s="140" t="s">
        <v>301</v>
      </c>
      <c r="D262" s="52" t="s">
        <v>368</v>
      </c>
      <c r="E262" s="308"/>
      <c r="F262" s="172" t="s">
        <v>703</v>
      </c>
      <c r="G262" s="172"/>
      <c r="H262" s="172" t="s">
        <v>91</v>
      </c>
      <c r="I262" s="341"/>
      <c r="J262" s="5"/>
      <c r="K262" s="5"/>
      <c r="L262" s="5"/>
      <c r="M262" s="5"/>
      <c r="N262" s="5"/>
      <c r="O262" s="304"/>
    </row>
    <row r="263" spans="1:15" ht="15.75" thickBot="1" x14ac:dyDescent="0.3">
      <c r="A263" s="446">
        <f t="shared" si="8"/>
        <v>250</v>
      </c>
      <c r="B263" s="586"/>
      <c r="C263" s="34" t="s">
        <v>128</v>
      </c>
      <c r="D263" s="91" t="s">
        <v>369</v>
      </c>
      <c r="E263" s="34"/>
      <c r="F263" s="344"/>
      <c r="G263" s="38">
        <v>46081</v>
      </c>
      <c r="H263" s="37"/>
      <c r="I263" s="74"/>
      <c r="J263" s="5"/>
      <c r="K263" s="5"/>
      <c r="L263" s="5"/>
      <c r="M263" s="5"/>
      <c r="N263" s="5"/>
      <c r="O263" s="304"/>
    </row>
    <row r="264" spans="1:15" ht="31.5" customHeight="1" x14ac:dyDescent="0.25">
      <c r="A264" s="446">
        <f t="shared" si="8"/>
        <v>251</v>
      </c>
      <c r="B264" s="575" t="s">
        <v>370</v>
      </c>
      <c r="C264" s="564" t="s">
        <v>307</v>
      </c>
      <c r="D264" s="23" t="s">
        <v>330</v>
      </c>
      <c r="E264" s="9"/>
      <c r="F264" s="565" t="s">
        <v>703</v>
      </c>
      <c r="G264" s="565"/>
      <c r="H264" s="621" t="s">
        <v>91</v>
      </c>
      <c r="I264" s="43"/>
      <c r="J264" s="5"/>
      <c r="K264" s="5"/>
      <c r="L264" s="5"/>
      <c r="M264" s="5"/>
      <c r="N264" s="5"/>
      <c r="O264" s="304"/>
    </row>
    <row r="265" spans="1:15" ht="31.5" customHeight="1" x14ac:dyDescent="0.25">
      <c r="A265" s="446">
        <f t="shared" si="8"/>
        <v>252</v>
      </c>
      <c r="B265" s="576"/>
      <c r="C265" s="566"/>
      <c r="D265" s="327" t="s">
        <v>336</v>
      </c>
      <c r="E265" s="310"/>
      <c r="F265" s="566"/>
      <c r="G265" s="566"/>
      <c r="H265" s="621"/>
      <c r="I265" s="26"/>
      <c r="J265" s="5"/>
      <c r="K265" s="5"/>
      <c r="L265" s="5"/>
      <c r="M265" s="5"/>
      <c r="N265" s="5"/>
      <c r="O265" s="304"/>
    </row>
    <row r="266" spans="1:15" ht="31.5" customHeight="1" x14ac:dyDescent="0.25">
      <c r="A266" s="446">
        <f t="shared" si="8"/>
        <v>253</v>
      </c>
      <c r="B266" s="548"/>
      <c r="C266" s="555" t="s">
        <v>45</v>
      </c>
      <c r="D266" s="323" t="s">
        <v>312</v>
      </c>
      <c r="E266" s="335"/>
      <c r="F266" s="13"/>
      <c r="G266" s="332">
        <v>46085</v>
      </c>
      <c r="H266" s="31"/>
      <c r="I266" s="53"/>
      <c r="J266" s="5"/>
      <c r="K266" s="5"/>
      <c r="L266" s="5"/>
      <c r="M266" s="5"/>
      <c r="N266" s="5"/>
      <c r="O266" s="304"/>
    </row>
    <row r="267" spans="1:15" ht="31.5" customHeight="1" x14ac:dyDescent="0.25">
      <c r="A267" s="446">
        <f t="shared" si="8"/>
        <v>254</v>
      </c>
      <c r="B267" s="576"/>
      <c r="C267" s="552"/>
      <c r="D267" s="323" t="s">
        <v>371</v>
      </c>
      <c r="E267" s="335"/>
      <c r="F267" s="55"/>
      <c r="G267" s="332">
        <v>46085</v>
      </c>
      <c r="H267" s="68"/>
      <c r="I267" s="339"/>
      <c r="J267" s="5"/>
      <c r="K267" s="5"/>
      <c r="L267" s="5"/>
      <c r="M267" s="5"/>
      <c r="N267" s="5"/>
      <c r="O267" s="304"/>
    </row>
    <row r="268" spans="1:15" ht="31.5" customHeight="1" x14ac:dyDescent="0.25">
      <c r="A268" s="446">
        <f t="shared" si="8"/>
        <v>255</v>
      </c>
      <c r="B268" s="576"/>
      <c r="C268" s="552"/>
      <c r="D268" s="315" t="s">
        <v>372</v>
      </c>
      <c r="E268" s="55"/>
      <c r="F268" s="13"/>
      <c r="G268" s="332">
        <v>46085</v>
      </c>
      <c r="H268" s="31"/>
      <c r="I268" s="33"/>
      <c r="J268" s="5"/>
      <c r="K268" s="5"/>
      <c r="L268" s="5"/>
      <c r="M268" s="5"/>
      <c r="N268" s="5"/>
      <c r="O268" s="304"/>
    </row>
    <row r="269" spans="1:15" ht="31.5" customHeight="1" x14ac:dyDescent="0.25">
      <c r="A269" s="446">
        <f t="shared" si="8"/>
        <v>256</v>
      </c>
      <c r="B269" s="576"/>
      <c r="C269" s="553"/>
      <c r="D269" s="44" t="s">
        <v>373</v>
      </c>
      <c r="E269" s="316"/>
      <c r="F269" s="13"/>
      <c r="G269" s="332">
        <v>46085</v>
      </c>
      <c r="H269" s="31"/>
      <c r="I269" s="33"/>
      <c r="J269" s="5"/>
      <c r="K269" s="5"/>
      <c r="L269" s="5"/>
      <c r="M269" s="5"/>
      <c r="N269" s="5"/>
      <c r="O269" s="304"/>
    </row>
    <row r="270" spans="1:15" ht="31.5" customHeight="1" x14ac:dyDescent="0.25">
      <c r="A270" s="446">
        <f t="shared" si="8"/>
        <v>257</v>
      </c>
      <c r="B270" s="576"/>
      <c r="C270" s="68" t="s">
        <v>60</v>
      </c>
      <c r="D270" s="119" t="s">
        <v>374</v>
      </c>
      <c r="E270" s="31"/>
      <c r="F270" s="356"/>
      <c r="G270" s="68" t="s">
        <v>361</v>
      </c>
      <c r="H270" s="356"/>
      <c r="I270" s="54"/>
      <c r="J270" s="5"/>
      <c r="K270" s="5"/>
      <c r="L270" s="5"/>
      <c r="M270" s="5"/>
      <c r="N270" s="5"/>
      <c r="O270" s="390"/>
    </row>
    <row r="271" spans="1:15" ht="31.5" customHeight="1" x14ac:dyDescent="0.25">
      <c r="A271" s="446">
        <f t="shared" si="8"/>
        <v>258</v>
      </c>
      <c r="B271" s="576"/>
      <c r="C271" s="308" t="s">
        <v>161</v>
      </c>
      <c r="D271" s="309" t="s">
        <v>375</v>
      </c>
      <c r="E271" s="310"/>
      <c r="F271" s="143" t="s">
        <v>81</v>
      </c>
      <c r="G271" s="487"/>
      <c r="H271" s="143" t="s">
        <v>14</v>
      </c>
      <c r="I271" s="150"/>
      <c r="J271" s="362"/>
      <c r="K271" s="362"/>
      <c r="L271" s="362"/>
      <c r="M271" s="362"/>
      <c r="N271" s="151"/>
      <c r="O271" s="312" t="s">
        <v>15</v>
      </c>
    </row>
    <row r="272" spans="1:15" ht="31.5" customHeight="1" thickBot="1" x14ac:dyDescent="0.3">
      <c r="A272" s="446">
        <f t="shared" si="8"/>
        <v>259</v>
      </c>
      <c r="B272" s="586"/>
      <c r="C272" s="179" t="s">
        <v>128</v>
      </c>
      <c r="D272" s="91" t="s">
        <v>376</v>
      </c>
      <c r="E272" s="37"/>
      <c r="F272" s="51"/>
      <c r="G272" s="515" t="s">
        <v>714</v>
      </c>
      <c r="H272" s="34"/>
      <c r="I272" s="104"/>
      <c r="J272" s="5"/>
      <c r="K272" s="5"/>
      <c r="L272" s="5"/>
      <c r="M272" s="5"/>
      <c r="N272" s="5"/>
      <c r="O272" s="321"/>
    </row>
    <row r="273" spans="1:15" x14ac:dyDescent="0.25">
      <c r="A273" s="446">
        <f t="shared" si="8"/>
        <v>260</v>
      </c>
      <c r="B273" s="550" t="s">
        <v>377</v>
      </c>
      <c r="C273" s="568" t="s">
        <v>165</v>
      </c>
      <c r="D273" s="62" t="s">
        <v>175</v>
      </c>
      <c r="E273" s="63"/>
      <c r="F273" s="64"/>
      <c r="G273" s="562" t="s">
        <v>378</v>
      </c>
      <c r="H273" s="64"/>
      <c r="I273" s="43"/>
      <c r="J273" s="5"/>
      <c r="K273" s="5"/>
      <c r="L273" s="5"/>
      <c r="M273" s="5"/>
      <c r="N273" s="5"/>
      <c r="O273" s="304"/>
    </row>
    <row r="274" spans="1:15" ht="15.75" thickBot="1" x14ac:dyDescent="0.3">
      <c r="A274" s="446">
        <f t="shared" si="8"/>
        <v>261</v>
      </c>
      <c r="B274" s="549"/>
      <c r="C274" s="574"/>
      <c r="D274" s="21" t="s">
        <v>177</v>
      </c>
      <c r="E274" s="22"/>
      <c r="F274" s="72"/>
      <c r="G274" s="622"/>
      <c r="H274" s="72"/>
      <c r="I274" s="74"/>
      <c r="J274" s="5"/>
      <c r="K274" s="5"/>
      <c r="L274" s="5"/>
      <c r="M274" s="5"/>
      <c r="N274" s="5"/>
      <c r="O274" s="304"/>
    </row>
    <row r="275" spans="1:15" ht="24.75" thickBot="1" x14ac:dyDescent="0.3">
      <c r="A275" s="446">
        <f t="shared" si="8"/>
        <v>262</v>
      </c>
      <c r="B275" s="207" t="s">
        <v>379</v>
      </c>
      <c r="C275" s="163" t="s">
        <v>184</v>
      </c>
      <c r="D275" s="106" t="s">
        <v>187</v>
      </c>
      <c r="E275" s="107"/>
      <c r="F275" s="163"/>
      <c r="G275" s="59" t="s">
        <v>380</v>
      </c>
      <c r="H275" s="59"/>
      <c r="I275" s="60"/>
      <c r="J275" s="5"/>
      <c r="K275" s="5"/>
      <c r="L275" s="5"/>
      <c r="M275" s="5"/>
      <c r="N275" s="5"/>
      <c r="O275" s="304"/>
    </row>
    <row r="276" spans="1:15" x14ac:dyDescent="0.25">
      <c r="A276" s="446">
        <f t="shared" si="8"/>
        <v>263</v>
      </c>
      <c r="B276" s="375" t="s">
        <v>381</v>
      </c>
      <c r="C276" s="568" t="s">
        <v>206</v>
      </c>
      <c r="D276" s="62" t="s">
        <v>207</v>
      </c>
      <c r="E276" s="61"/>
      <c r="F276" s="64"/>
      <c r="G276" s="118">
        <v>46077</v>
      </c>
      <c r="H276" s="64"/>
      <c r="I276" s="43"/>
      <c r="J276" s="5"/>
      <c r="K276" s="5"/>
      <c r="L276" s="5"/>
      <c r="M276" s="5"/>
      <c r="N276" s="5"/>
      <c r="O276" s="304"/>
    </row>
    <row r="277" spans="1:15" ht="15.75" thickBot="1" x14ac:dyDescent="0.3">
      <c r="A277" s="446">
        <f t="shared" si="8"/>
        <v>264</v>
      </c>
      <c r="B277" s="376" t="s">
        <v>382</v>
      </c>
      <c r="C277" s="574"/>
      <c r="D277" s="101" t="s">
        <v>209</v>
      </c>
      <c r="E277" s="72"/>
      <c r="F277" s="72"/>
      <c r="G277" s="181">
        <v>46077</v>
      </c>
      <c r="H277" s="72"/>
      <c r="I277" s="104"/>
      <c r="J277" s="5"/>
      <c r="K277" s="5"/>
      <c r="L277" s="5"/>
      <c r="M277" s="5"/>
      <c r="N277" s="5"/>
      <c r="O277" s="304"/>
    </row>
    <row r="278" spans="1:15" ht="36" x14ac:dyDescent="0.25">
      <c r="A278" s="446">
        <f t="shared" si="8"/>
        <v>265</v>
      </c>
      <c r="B278" s="375" t="s">
        <v>383</v>
      </c>
      <c r="C278" s="568" t="s">
        <v>211</v>
      </c>
      <c r="D278" s="62" t="s">
        <v>214</v>
      </c>
      <c r="E278" s="64"/>
      <c r="F278" s="147" t="s">
        <v>21</v>
      </c>
      <c r="G278" s="64" t="s">
        <v>384</v>
      </c>
      <c r="H278" s="64"/>
      <c r="I278" s="369"/>
      <c r="J278" s="5"/>
      <c r="K278" s="5"/>
      <c r="L278" s="5"/>
      <c r="M278" s="5"/>
      <c r="N278" s="5"/>
      <c r="O278" s="304"/>
    </row>
    <row r="279" spans="1:15" ht="24.75" thickBot="1" x14ac:dyDescent="0.3">
      <c r="A279" s="446">
        <f t="shared" si="8"/>
        <v>266</v>
      </c>
      <c r="B279" s="376" t="s">
        <v>385</v>
      </c>
      <c r="C279" s="574"/>
      <c r="D279" s="101" t="s">
        <v>216</v>
      </c>
      <c r="E279" s="73"/>
      <c r="F279" s="103" t="s">
        <v>21</v>
      </c>
      <c r="G279" s="182">
        <v>46081</v>
      </c>
      <c r="H279" s="72"/>
      <c r="I279" s="112"/>
      <c r="J279" s="5"/>
      <c r="K279" s="5"/>
      <c r="L279" s="5"/>
      <c r="M279" s="5"/>
      <c r="N279" s="5"/>
      <c r="O279" s="304"/>
    </row>
    <row r="280" spans="1:15" ht="24.75" thickBot="1" x14ac:dyDescent="0.3">
      <c r="A280" s="446">
        <f t="shared" si="8"/>
        <v>267</v>
      </c>
      <c r="B280" s="410" t="s">
        <v>386</v>
      </c>
      <c r="C280" s="105" t="s">
        <v>387</v>
      </c>
      <c r="D280" s="106" t="s">
        <v>220</v>
      </c>
      <c r="E280" s="163"/>
      <c r="F280" s="59" t="s">
        <v>21</v>
      </c>
      <c r="G280" s="108">
        <v>46081</v>
      </c>
      <c r="H280" s="59"/>
      <c r="I280" s="60"/>
      <c r="J280" s="5"/>
      <c r="K280" s="5"/>
      <c r="L280" s="5"/>
      <c r="M280" s="5"/>
      <c r="N280" s="5"/>
      <c r="O280" s="304"/>
    </row>
    <row r="281" spans="1:15" ht="15.75" thickBot="1" x14ac:dyDescent="0.3">
      <c r="A281" s="458">
        <f t="shared" si="8"/>
        <v>268</v>
      </c>
      <c r="B281" s="81" t="s">
        <v>388</v>
      </c>
      <c r="C281" s="127" t="s">
        <v>315</v>
      </c>
      <c r="D281" s="408" t="s">
        <v>389</v>
      </c>
      <c r="E281" s="381"/>
      <c r="F281" s="381"/>
      <c r="G281" s="383">
        <v>46081</v>
      </c>
      <c r="H281" s="381"/>
      <c r="I281" s="369"/>
      <c r="J281" s="442"/>
      <c r="K281" s="442"/>
      <c r="L281" s="442"/>
      <c r="M281" s="442"/>
      <c r="N281" s="442"/>
      <c r="O281" s="390"/>
    </row>
    <row r="282" spans="1:15" ht="15.75" thickBot="1" x14ac:dyDescent="0.3">
      <c r="A282" s="164"/>
      <c r="B282" s="544" t="s">
        <v>390</v>
      </c>
      <c r="C282" s="545"/>
      <c r="D282" s="611"/>
      <c r="E282" s="130"/>
      <c r="F282" s="131"/>
      <c r="G282" s="130"/>
      <c r="H282" s="204"/>
      <c r="I282" s="132"/>
      <c r="J282" s="444"/>
      <c r="K282" s="444"/>
      <c r="L282" s="444"/>
      <c r="M282" s="444"/>
      <c r="N282" s="444"/>
      <c r="O282" s="445"/>
    </row>
    <row r="283" spans="1:15" ht="24" x14ac:dyDescent="0.25">
      <c r="A283" s="168">
        <f>A281+1</f>
        <v>269</v>
      </c>
      <c r="B283" s="554" t="s">
        <v>391</v>
      </c>
      <c r="C283" s="419" t="s">
        <v>319</v>
      </c>
      <c r="D283" s="420" t="s">
        <v>392</v>
      </c>
      <c r="E283" s="421"/>
      <c r="F283" s="197" t="s">
        <v>81</v>
      </c>
      <c r="G283" s="198"/>
      <c r="H283" s="197" t="s">
        <v>14</v>
      </c>
      <c r="I283" s="150"/>
      <c r="J283" s="362"/>
      <c r="K283" s="362"/>
      <c r="L283" s="362"/>
      <c r="M283" s="362"/>
      <c r="N283" s="151"/>
      <c r="O283" s="464" t="s">
        <v>15</v>
      </c>
    </row>
    <row r="284" spans="1:15" ht="24.75" thickBot="1" x14ac:dyDescent="0.3">
      <c r="A284" s="184">
        <f t="shared" ref="A284:A317" si="9">A283+1</f>
        <v>270</v>
      </c>
      <c r="B284" s="623"/>
      <c r="C284" s="185" t="s">
        <v>393</v>
      </c>
      <c r="D284" s="186" t="s">
        <v>394</v>
      </c>
      <c r="E284" s="185"/>
      <c r="F284" s="172" t="s">
        <v>247</v>
      </c>
      <c r="G284" s="172"/>
      <c r="H284" s="172" t="s">
        <v>21</v>
      </c>
      <c r="I284" s="74"/>
      <c r="J284" s="5"/>
      <c r="K284" s="5"/>
      <c r="L284" s="5"/>
      <c r="M284" s="5"/>
      <c r="N284" s="5"/>
      <c r="O284" s="411"/>
    </row>
    <row r="285" spans="1:15" ht="24.75" thickBot="1" x14ac:dyDescent="0.3">
      <c r="A285" s="184">
        <f t="shared" si="9"/>
        <v>271</v>
      </c>
      <c r="B285" s="575" t="s">
        <v>395</v>
      </c>
      <c r="C285" s="165" t="s">
        <v>319</v>
      </c>
      <c r="D285" s="166" t="s">
        <v>396</v>
      </c>
      <c r="E285" s="167"/>
      <c r="F285" s="197" t="s">
        <v>81</v>
      </c>
      <c r="G285" s="198"/>
      <c r="H285" s="197" t="s">
        <v>14</v>
      </c>
      <c r="I285" s="150"/>
      <c r="J285" s="362"/>
      <c r="K285" s="362"/>
      <c r="L285" s="362"/>
      <c r="M285" s="362"/>
      <c r="N285" s="151"/>
      <c r="O285" s="312" t="s">
        <v>15</v>
      </c>
    </row>
    <row r="286" spans="1:15" ht="15.75" thickBot="1" x14ac:dyDescent="0.3">
      <c r="A286" s="184">
        <f t="shared" si="9"/>
        <v>272</v>
      </c>
      <c r="B286" s="586"/>
      <c r="C286" s="34" t="s">
        <v>397</v>
      </c>
      <c r="D286" s="187" t="s">
        <v>398</v>
      </c>
      <c r="E286" s="34"/>
      <c r="F286" s="403" t="s">
        <v>21</v>
      </c>
      <c r="G286" s="188">
        <v>46081</v>
      </c>
      <c r="H286" s="412"/>
      <c r="I286" s="74"/>
      <c r="J286" s="5"/>
      <c r="K286" s="5"/>
      <c r="L286" s="5"/>
      <c r="M286" s="5"/>
      <c r="N286" s="5"/>
      <c r="O286" s="411"/>
    </row>
    <row r="287" spans="1:15" ht="24.75" thickBot="1" x14ac:dyDescent="0.3">
      <c r="A287" s="184">
        <f t="shared" si="9"/>
        <v>273</v>
      </c>
      <c r="B287" s="575" t="s">
        <v>399</v>
      </c>
      <c r="C287" s="165" t="s">
        <v>319</v>
      </c>
      <c r="D287" s="166" t="s">
        <v>400</v>
      </c>
      <c r="E287" s="167"/>
      <c r="F287" s="143" t="s">
        <v>81</v>
      </c>
      <c r="G287" s="198"/>
      <c r="H287" s="143" t="s">
        <v>14</v>
      </c>
      <c r="I287" s="150"/>
      <c r="J287" s="362"/>
      <c r="K287" s="362"/>
      <c r="L287" s="362"/>
      <c r="M287" s="362"/>
      <c r="N287" s="151"/>
      <c r="O287" s="312" t="s">
        <v>15</v>
      </c>
    </row>
    <row r="288" spans="1:15" ht="27.75" customHeight="1" thickBot="1" x14ac:dyDescent="0.3">
      <c r="A288" s="184">
        <f t="shared" si="9"/>
        <v>274</v>
      </c>
      <c r="B288" s="586"/>
      <c r="C288" s="34" t="s">
        <v>128</v>
      </c>
      <c r="D288" s="187" t="s">
        <v>401</v>
      </c>
      <c r="E288" s="34"/>
      <c r="F288" s="136" t="s">
        <v>21</v>
      </c>
      <c r="G288" s="38">
        <v>46081</v>
      </c>
      <c r="H288" s="51"/>
      <c r="I288" s="74"/>
      <c r="J288" s="5"/>
      <c r="K288" s="5"/>
      <c r="L288" s="5"/>
      <c r="M288" s="5"/>
      <c r="N288" s="5"/>
      <c r="O288" s="321"/>
    </row>
    <row r="289" spans="1:15" ht="24.75" thickBot="1" x14ac:dyDescent="0.3">
      <c r="A289" s="184">
        <f t="shared" si="9"/>
        <v>275</v>
      </c>
      <c r="B289" s="575" t="s">
        <v>402</v>
      </c>
      <c r="C289" s="133" t="s">
        <v>403</v>
      </c>
      <c r="D289" s="134" t="s">
        <v>404</v>
      </c>
      <c r="E289" s="42"/>
      <c r="F289" s="42" t="s">
        <v>21</v>
      </c>
      <c r="G289" s="118">
        <v>46081</v>
      </c>
      <c r="H289" s="64"/>
      <c r="I289" s="369"/>
      <c r="J289" s="5"/>
      <c r="K289" s="5"/>
      <c r="L289" s="5"/>
      <c r="M289" s="5"/>
      <c r="N289" s="5"/>
      <c r="O289" s="304"/>
    </row>
    <row r="290" spans="1:15" ht="25.5" customHeight="1" thickBot="1" x14ac:dyDescent="0.3">
      <c r="A290" s="184">
        <f t="shared" si="9"/>
        <v>276</v>
      </c>
      <c r="B290" s="586"/>
      <c r="C290" s="34" t="s">
        <v>285</v>
      </c>
      <c r="D290" s="35" t="s">
        <v>405</v>
      </c>
      <c r="E290" s="51"/>
      <c r="F290" s="344" t="s">
        <v>21</v>
      </c>
      <c r="G290" s="189"/>
      <c r="H290" s="356"/>
      <c r="I290" s="112"/>
      <c r="J290" s="5"/>
      <c r="K290" s="5"/>
      <c r="L290" s="5"/>
      <c r="M290" s="5"/>
      <c r="N290" s="5"/>
      <c r="O290" s="390"/>
    </row>
    <row r="291" spans="1:15" ht="15.75" thickBot="1" x14ac:dyDescent="0.3">
      <c r="A291" s="190">
        <f t="shared" si="9"/>
        <v>277</v>
      </c>
      <c r="B291" s="407" t="s">
        <v>406</v>
      </c>
      <c r="C291" s="191" t="s">
        <v>319</v>
      </c>
      <c r="D291" s="177" t="s">
        <v>407</v>
      </c>
      <c r="E291" s="178"/>
      <c r="F291" s="143" t="s">
        <v>81</v>
      </c>
      <c r="G291" s="198"/>
      <c r="H291" s="143" t="s">
        <v>14</v>
      </c>
      <c r="I291" s="150"/>
      <c r="J291" s="362"/>
      <c r="K291" s="362"/>
      <c r="L291" s="362"/>
      <c r="M291" s="362"/>
      <c r="N291" s="151"/>
      <c r="O291" s="312" t="s">
        <v>15</v>
      </c>
    </row>
    <row r="292" spans="1:15" s="2" customFormat="1" ht="15.75" thickBot="1" x14ac:dyDescent="0.3">
      <c r="A292" s="190">
        <f t="shared" si="9"/>
        <v>278</v>
      </c>
      <c r="B292" s="413" t="s">
        <v>406</v>
      </c>
      <c r="C292" s="414" t="s">
        <v>128</v>
      </c>
      <c r="D292" s="192" t="s">
        <v>408</v>
      </c>
      <c r="E292" s="415"/>
      <c r="F292" s="403"/>
      <c r="G292" s="416">
        <v>46091</v>
      </c>
      <c r="H292" s="403"/>
      <c r="I292" s="417"/>
      <c r="J292" s="5"/>
      <c r="K292" s="5"/>
      <c r="L292" s="5"/>
      <c r="M292" s="5"/>
      <c r="N292" s="5"/>
      <c r="O292" s="411"/>
    </row>
    <row r="293" spans="1:15" ht="15.75" thickBot="1" x14ac:dyDescent="0.3">
      <c r="A293" s="184">
        <f t="shared" si="9"/>
        <v>279</v>
      </c>
      <c r="B293" s="575" t="s">
        <v>409</v>
      </c>
      <c r="C293" s="165" t="s">
        <v>319</v>
      </c>
      <c r="D293" s="8" t="s">
        <v>410</v>
      </c>
      <c r="E293" s="9"/>
      <c r="F293" s="143" t="s">
        <v>81</v>
      </c>
      <c r="G293" s="198"/>
      <c r="H293" s="143" t="s">
        <v>14</v>
      </c>
      <c r="I293" s="150"/>
      <c r="J293" s="362"/>
      <c r="K293" s="362"/>
      <c r="L293" s="362"/>
      <c r="M293" s="362"/>
      <c r="N293" s="151"/>
      <c r="O293" s="312" t="s">
        <v>15</v>
      </c>
    </row>
    <row r="294" spans="1:15" ht="15.75" thickBot="1" x14ac:dyDescent="0.3">
      <c r="A294" s="184">
        <f t="shared" si="9"/>
        <v>280</v>
      </c>
      <c r="B294" s="576"/>
      <c r="C294" s="559" t="s">
        <v>411</v>
      </c>
      <c r="D294" s="329" t="s">
        <v>412</v>
      </c>
      <c r="E294" s="331"/>
      <c r="F294" s="331" t="s">
        <v>21</v>
      </c>
      <c r="G294" s="557">
        <v>46081</v>
      </c>
      <c r="H294" s="331"/>
      <c r="I294" s="418"/>
      <c r="J294" s="5"/>
      <c r="K294" s="5"/>
      <c r="L294" s="5"/>
      <c r="M294" s="5"/>
      <c r="N294" s="5"/>
      <c r="O294" s="321"/>
    </row>
    <row r="295" spans="1:15" ht="36.75" thickBot="1" x14ac:dyDescent="0.3">
      <c r="A295" s="184">
        <f t="shared" si="9"/>
        <v>281</v>
      </c>
      <c r="B295" s="576"/>
      <c r="C295" s="561"/>
      <c r="D295" s="354" t="s">
        <v>413</v>
      </c>
      <c r="E295" s="328"/>
      <c r="F295" s="31" t="s">
        <v>21</v>
      </c>
      <c r="G295" s="563"/>
      <c r="H295" s="331"/>
      <c r="I295" s="341"/>
      <c r="J295" s="5"/>
      <c r="K295" s="5"/>
      <c r="L295" s="5"/>
      <c r="M295" s="5"/>
      <c r="N295" s="5"/>
      <c r="O295" s="304"/>
    </row>
    <row r="296" spans="1:15" ht="15.75" thickBot="1" x14ac:dyDescent="0.3">
      <c r="A296" s="184">
        <f t="shared" si="9"/>
        <v>282</v>
      </c>
      <c r="B296" s="601"/>
      <c r="C296" s="185" t="s">
        <v>45</v>
      </c>
      <c r="D296" s="193" t="s">
        <v>414</v>
      </c>
      <c r="E296" s="185"/>
      <c r="F296" s="194" t="s">
        <v>21</v>
      </c>
      <c r="G296" s="195">
        <v>46086</v>
      </c>
      <c r="H296" s="194" t="s">
        <v>21</v>
      </c>
      <c r="I296" s="74"/>
      <c r="J296" s="5"/>
      <c r="K296" s="5"/>
      <c r="L296" s="5"/>
      <c r="M296" s="5"/>
      <c r="N296" s="5"/>
      <c r="O296" s="390"/>
    </row>
    <row r="297" spans="1:15" ht="36" customHeight="1" thickBot="1" x14ac:dyDescent="0.3">
      <c r="A297" s="184">
        <f t="shared" si="9"/>
        <v>283</v>
      </c>
      <c r="B297" s="550" t="s">
        <v>415</v>
      </c>
      <c r="C297" s="165" t="s">
        <v>319</v>
      </c>
      <c r="D297" s="166" t="s">
        <v>416</v>
      </c>
      <c r="E297" s="167"/>
      <c r="F297" s="624" t="s">
        <v>81</v>
      </c>
      <c r="G297" s="624"/>
      <c r="H297" s="624" t="s">
        <v>14</v>
      </c>
      <c r="I297" s="150"/>
      <c r="J297" s="362"/>
      <c r="K297" s="362"/>
      <c r="L297" s="362"/>
      <c r="M297" s="362"/>
      <c r="N297" s="151"/>
      <c r="O297" s="627" t="s">
        <v>15</v>
      </c>
    </row>
    <row r="298" spans="1:15" ht="15.75" thickBot="1" x14ac:dyDescent="0.3">
      <c r="A298" s="184">
        <f t="shared" si="9"/>
        <v>284</v>
      </c>
      <c r="B298" s="547"/>
      <c r="C298" s="419" t="s">
        <v>319</v>
      </c>
      <c r="D298" s="420" t="s">
        <v>417</v>
      </c>
      <c r="E298" s="421"/>
      <c r="F298" s="624"/>
      <c r="G298" s="624"/>
      <c r="H298" s="624"/>
      <c r="I298" s="150"/>
      <c r="J298" s="362"/>
      <c r="K298" s="362"/>
      <c r="L298" s="362"/>
      <c r="M298" s="362"/>
      <c r="N298" s="151"/>
      <c r="O298" s="628"/>
    </row>
    <row r="299" spans="1:15" ht="15.75" thickBot="1" x14ac:dyDescent="0.3">
      <c r="A299" s="184">
        <f t="shared" si="9"/>
        <v>285</v>
      </c>
      <c r="B299" s="547"/>
      <c r="C299" s="419" t="s">
        <v>319</v>
      </c>
      <c r="D299" s="420" t="s">
        <v>418</v>
      </c>
      <c r="E299" s="421"/>
      <c r="F299" s="625"/>
      <c r="G299" s="626"/>
      <c r="H299" s="625"/>
      <c r="I299" s="150"/>
      <c r="J299" s="362"/>
      <c r="K299" s="362"/>
      <c r="L299" s="362"/>
      <c r="M299" s="362"/>
      <c r="N299" s="151"/>
      <c r="O299" s="629"/>
    </row>
    <row r="300" spans="1:15" ht="24.75" thickBot="1" x14ac:dyDescent="0.3">
      <c r="A300" s="184">
        <f t="shared" si="9"/>
        <v>286</v>
      </c>
      <c r="B300" s="547"/>
      <c r="C300" s="95" t="s">
        <v>285</v>
      </c>
      <c r="D300" s="52" t="s">
        <v>419</v>
      </c>
      <c r="E300" s="29"/>
      <c r="F300" s="172" t="s">
        <v>21</v>
      </c>
      <c r="G300" s="172"/>
      <c r="H300" s="172" t="s">
        <v>21</v>
      </c>
      <c r="I300" s="26"/>
      <c r="J300" s="5"/>
      <c r="K300" s="5"/>
      <c r="L300" s="5"/>
      <c r="M300" s="5"/>
      <c r="N300" s="5"/>
      <c r="O300" s="321"/>
    </row>
    <row r="301" spans="1:15" ht="23.25" customHeight="1" thickBot="1" x14ac:dyDescent="0.3">
      <c r="A301" s="184">
        <f t="shared" si="9"/>
        <v>287</v>
      </c>
      <c r="B301" s="549"/>
      <c r="C301" s="371" t="s">
        <v>403</v>
      </c>
      <c r="D301" s="114" t="s">
        <v>420</v>
      </c>
      <c r="E301" s="73"/>
      <c r="F301" s="103" t="s">
        <v>21</v>
      </c>
      <c r="G301" s="38">
        <v>46084</v>
      </c>
      <c r="H301" s="72"/>
      <c r="I301" s="199"/>
      <c r="J301" s="5"/>
      <c r="K301" s="5"/>
      <c r="L301" s="5"/>
      <c r="M301" s="5"/>
      <c r="N301" s="5"/>
      <c r="O301" s="304"/>
    </row>
    <row r="302" spans="1:15" ht="15.75" thickBot="1" x14ac:dyDescent="0.3">
      <c r="A302" s="184">
        <f t="shared" si="9"/>
        <v>288</v>
      </c>
      <c r="B302" s="575" t="s">
        <v>421</v>
      </c>
      <c r="C302" s="68" t="s">
        <v>285</v>
      </c>
      <c r="D302" s="117" t="s">
        <v>422</v>
      </c>
      <c r="E302" s="64"/>
      <c r="F302" s="381"/>
      <c r="G302" s="118">
        <v>46081</v>
      </c>
      <c r="H302" s="415"/>
      <c r="I302" s="369"/>
      <c r="J302" s="5"/>
      <c r="K302" s="5"/>
      <c r="L302" s="5"/>
      <c r="M302" s="5"/>
      <c r="N302" s="5"/>
      <c r="O302" s="390"/>
    </row>
    <row r="303" spans="1:15" ht="39.75" customHeight="1" thickBot="1" x14ac:dyDescent="0.3">
      <c r="A303" s="184">
        <f t="shared" si="9"/>
        <v>289</v>
      </c>
      <c r="B303" s="576"/>
      <c r="C303" s="351" t="s">
        <v>423</v>
      </c>
      <c r="D303" s="309" t="s">
        <v>424</v>
      </c>
      <c r="E303" s="393"/>
      <c r="F303" s="143" t="s">
        <v>81</v>
      </c>
      <c r="G303" s="487"/>
      <c r="H303" s="143" t="s">
        <v>14</v>
      </c>
      <c r="I303" s="422"/>
      <c r="J303" s="362"/>
      <c r="K303" s="362"/>
      <c r="L303" s="362"/>
      <c r="M303" s="362"/>
      <c r="N303" s="151"/>
      <c r="O303" s="312" t="s">
        <v>15</v>
      </c>
    </row>
    <row r="304" spans="1:15" ht="15.75" thickBot="1" x14ac:dyDescent="0.3">
      <c r="A304" s="184">
        <f t="shared" si="9"/>
        <v>290</v>
      </c>
      <c r="B304" s="576"/>
      <c r="C304" s="555" t="s">
        <v>128</v>
      </c>
      <c r="D304" s="48" t="s">
        <v>425</v>
      </c>
      <c r="E304" s="37"/>
      <c r="F304" s="484" t="s">
        <v>21</v>
      </c>
      <c r="G304" s="630" t="s">
        <v>715</v>
      </c>
      <c r="H304" s="34"/>
      <c r="I304" s="125"/>
      <c r="J304" s="5"/>
      <c r="K304" s="5"/>
      <c r="L304" s="5"/>
      <c r="M304" s="5"/>
      <c r="N304" s="5"/>
      <c r="O304" s="321"/>
    </row>
    <row r="305" spans="1:15" ht="15.75" thickBot="1" x14ac:dyDescent="0.3">
      <c r="A305" s="184">
        <f t="shared" si="9"/>
        <v>291</v>
      </c>
      <c r="B305" s="586"/>
      <c r="C305" s="587"/>
      <c r="D305" s="315" t="s">
        <v>426</v>
      </c>
      <c r="E305" s="316"/>
      <c r="F305" s="484" t="s">
        <v>21</v>
      </c>
      <c r="G305" s="630"/>
      <c r="H305" s="486"/>
      <c r="I305" s="339"/>
      <c r="J305" s="5"/>
      <c r="K305" s="5"/>
      <c r="L305" s="5"/>
      <c r="M305" s="5"/>
      <c r="N305" s="5"/>
      <c r="O305" s="304"/>
    </row>
    <row r="306" spans="1:15" ht="24.75" thickBot="1" x14ac:dyDescent="0.3">
      <c r="A306" s="184">
        <f t="shared" si="9"/>
        <v>292</v>
      </c>
      <c r="B306" s="575" t="s">
        <v>427</v>
      </c>
      <c r="C306" s="133" t="s">
        <v>428</v>
      </c>
      <c r="D306" s="134" t="s">
        <v>429</v>
      </c>
      <c r="E306" s="42"/>
      <c r="F306" s="42"/>
      <c r="G306" s="483">
        <v>46091</v>
      </c>
      <c r="H306" s="42"/>
      <c r="I306" s="65"/>
      <c r="J306" s="5"/>
      <c r="K306" s="5"/>
      <c r="L306" s="5"/>
      <c r="M306" s="5"/>
      <c r="N306" s="5"/>
      <c r="O306" s="304"/>
    </row>
    <row r="307" spans="1:15" ht="24.75" thickBot="1" x14ac:dyDescent="0.3">
      <c r="A307" s="184">
        <f t="shared" si="9"/>
        <v>293</v>
      </c>
      <c r="B307" s="576"/>
      <c r="C307" s="555" t="s">
        <v>128</v>
      </c>
      <c r="D307" s="323" t="s">
        <v>430</v>
      </c>
      <c r="E307" s="13"/>
      <c r="F307" s="484" t="s">
        <v>21</v>
      </c>
      <c r="G307" s="630" t="s">
        <v>716</v>
      </c>
      <c r="H307" s="173"/>
      <c r="I307" s="26"/>
      <c r="J307" s="5"/>
      <c r="K307" s="5"/>
      <c r="L307" s="5"/>
      <c r="M307" s="5"/>
      <c r="N307" s="5"/>
      <c r="O307" s="304"/>
    </row>
    <row r="308" spans="1:15" ht="15.75" thickBot="1" x14ac:dyDescent="0.3">
      <c r="A308" s="184">
        <f t="shared" si="9"/>
        <v>294</v>
      </c>
      <c r="B308" s="576"/>
      <c r="C308" s="553"/>
      <c r="D308" s="187" t="s">
        <v>431</v>
      </c>
      <c r="E308" s="344"/>
      <c r="F308" s="316"/>
      <c r="G308" s="630"/>
      <c r="H308" s="529"/>
      <c r="I308" s="423"/>
      <c r="J308" s="5"/>
      <c r="K308" s="5"/>
      <c r="L308" s="5"/>
      <c r="M308" s="5"/>
      <c r="N308" s="5"/>
      <c r="O308" s="304"/>
    </row>
    <row r="309" spans="1:15" ht="15.75" thickBot="1" x14ac:dyDescent="0.3">
      <c r="A309" s="184">
        <f t="shared" si="9"/>
        <v>295</v>
      </c>
      <c r="B309" s="576"/>
      <c r="C309" s="136" t="s">
        <v>100</v>
      </c>
      <c r="D309" s="187" t="s">
        <v>432</v>
      </c>
      <c r="E309" s="37"/>
      <c r="F309" s="37"/>
      <c r="G309" s="484"/>
      <c r="H309" s="37"/>
      <c r="I309" s="104"/>
      <c r="J309" s="5"/>
      <c r="K309" s="5"/>
      <c r="L309" s="5"/>
      <c r="M309" s="5"/>
      <c r="N309" s="5"/>
      <c r="O309" s="304"/>
    </row>
    <row r="310" spans="1:15" ht="15.75" thickBot="1" x14ac:dyDescent="0.3">
      <c r="A310" s="184">
        <f t="shared" si="9"/>
        <v>296</v>
      </c>
      <c r="B310" s="586"/>
      <c r="C310" s="403" t="s">
        <v>433</v>
      </c>
      <c r="D310" s="424" t="s">
        <v>434</v>
      </c>
      <c r="E310" s="314"/>
      <c r="F310" s="316"/>
      <c r="G310" s="374">
        <v>46081</v>
      </c>
      <c r="H310" s="316"/>
      <c r="I310" s="326"/>
      <c r="J310" s="5"/>
      <c r="K310" s="5"/>
      <c r="L310" s="5"/>
      <c r="M310" s="5"/>
      <c r="N310" s="5"/>
      <c r="O310" s="304"/>
    </row>
    <row r="311" spans="1:15" ht="15.75" thickBot="1" x14ac:dyDescent="0.3">
      <c r="A311" s="184">
        <f t="shared" si="9"/>
        <v>297</v>
      </c>
      <c r="B311" s="550" t="s">
        <v>435</v>
      </c>
      <c r="C311" s="551" t="s">
        <v>128</v>
      </c>
      <c r="D311" s="40" t="s">
        <v>436</v>
      </c>
      <c r="E311" s="133"/>
      <c r="F311" s="42"/>
      <c r="G311" s="569">
        <v>46084</v>
      </c>
      <c r="H311" s="42"/>
      <c r="I311" s="65"/>
      <c r="J311" s="5"/>
      <c r="K311" s="5"/>
      <c r="L311" s="5"/>
      <c r="M311" s="5"/>
      <c r="N311" s="5"/>
      <c r="O311" s="304"/>
    </row>
    <row r="312" spans="1:15" ht="15.75" thickBot="1" x14ac:dyDescent="0.3">
      <c r="A312" s="184">
        <f t="shared" si="9"/>
        <v>298</v>
      </c>
      <c r="B312" s="547"/>
      <c r="C312" s="553"/>
      <c r="D312" s="44" t="s">
        <v>437</v>
      </c>
      <c r="E312" s="322"/>
      <c r="F312" s="13"/>
      <c r="G312" s="558"/>
      <c r="H312" s="13"/>
      <c r="I312" s="341"/>
      <c r="J312" s="5"/>
      <c r="K312" s="5"/>
      <c r="L312" s="5"/>
      <c r="M312" s="5"/>
      <c r="N312" s="5"/>
      <c r="O312" s="304"/>
    </row>
    <row r="313" spans="1:15" ht="15.75" thickBot="1" x14ac:dyDescent="0.3">
      <c r="A313" s="184">
        <f t="shared" si="9"/>
        <v>299</v>
      </c>
      <c r="B313" s="547"/>
      <c r="C313" s="560" t="s">
        <v>428</v>
      </c>
      <c r="D313" s="69" t="s">
        <v>438</v>
      </c>
      <c r="E313" s="328"/>
      <c r="F313" s="31"/>
      <c r="G313" s="557">
        <v>46086</v>
      </c>
      <c r="H313" s="13"/>
      <c r="I313" s="341"/>
      <c r="J313" s="5"/>
      <c r="K313" s="5"/>
      <c r="L313" s="5"/>
      <c r="M313" s="5"/>
      <c r="N313" s="5"/>
      <c r="O313" s="304"/>
    </row>
    <row r="314" spans="1:15" ht="15.75" thickBot="1" x14ac:dyDescent="0.3">
      <c r="A314" s="184">
        <f t="shared" si="9"/>
        <v>300</v>
      </c>
      <c r="B314" s="549"/>
      <c r="C314" s="574"/>
      <c r="D314" s="70" t="s">
        <v>439</v>
      </c>
      <c r="E314" s="20"/>
      <c r="F314" s="356"/>
      <c r="G314" s="579"/>
      <c r="H314" s="356"/>
      <c r="I314" s="74"/>
      <c r="J314" s="5"/>
      <c r="K314" s="5"/>
      <c r="L314" s="5"/>
      <c r="M314" s="5"/>
      <c r="N314" s="5"/>
      <c r="O314" s="390"/>
    </row>
    <row r="315" spans="1:15" ht="17.25" customHeight="1" thickBot="1" x14ac:dyDescent="0.3">
      <c r="A315" s="184">
        <f t="shared" si="9"/>
        <v>301</v>
      </c>
      <c r="B315" s="631" t="s">
        <v>440</v>
      </c>
      <c r="C315" s="633" t="s">
        <v>319</v>
      </c>
      <c r="D315" s="8" t="s">
        <v>410</v>
      </c>
      <c r="E315" s="9"/>
      <c r="F315" s="143" t="s">
        <v>81</v>
      </c>
      <c r="G315" s="198"/>
      <c r="H315" s="143" t="s">
        <v>14</v>
      </c>
      <c r="I315" s="150"/>
      <c r="J315" s="362"/>
      <c r="K315" s="362"/>
      <c r="L315" s="362"/>
      <c r="M315" s="362"/>
      <c r="N315" s="151"/>
      <c r="O315" s="312" t="s">
        <v>15</v>
      </c>
    </row>
    <row r="316" spans="1:15" ht="24.75" thickBot="1" x14ac:dyDescent="0.3">
      <c r="A316" s="184">
        <f t="shared" si="9"/>
        <v>302</v>
      </c>
      <c r="B316" s="632"/>
      <c r="C316" s="634"/>
      <c r="D316" s="157" t="s">
        <v>441</v>
      </c>
      <c r="E316" s="29"/>
      <c r="F316" s="172" t="s">
        <v>335</v>
      </c>
      <c r="G316" s="29"/>
      <c r="H316" s="200" t="s">
        <v>21</v>
      </c>
      <c r="I316" s="201"/>
      <c r="J316" s="202"/>
      <c r="K316" s="202"/>
      <c r="L316" s="202"/>
      <c r="M316" s="202"/>
      <c r="N316" s="202"/>
      <c r="O316" s="425"/>
    </row>
    <row r="317" spans="1:15" ht="15.75" thickBot="1" x14ac:dyDescent="0.3">
      <c r="A317" s="205">
        <f t="shared" si="9"/>
        <v>303</v>
      </c>
      <c r="B317" s="632"/>
      <c r="C317" s="371" t="s">
        <v>285</v>
      </c>
      <c r="D317" s="465" t="s">
        <v>442</v>
      </c>
      <c r="E317" s="373"/>
      <c r="F317" s="356"/>
      <c r="G317" s="373"/>
      <c r="H317" s="373"/>
      <c r="I317" s="466"/>
      <c r="J317" s="442"/>
      <c r="K317" s="442"/>
      <c r="L317" s="442"/>
      <c r="M317" s="442"/>
      <c r="N317" s="442"/>
      <c r="O317" s="390"/>
    </row>
    <row r="318" spans="1:15" ht="15.75" thickBot="1" x14ac:dyDescent="0.3">
      <c r="A318" s="164"/>
      <c r="B318" s="544" t="s">
        <v>443</v>
      </c>
      <c r="C318" s="545"/>
      <c r="D318" s="611"/>
      <c r="E318" s="130"/>
      <c r="F318" s="131"/>
      <c r="G318" s="130"/>
      <c r="H318" s="204"/>
      <c r="I318" s="132"/>
      <c r="J318" s="444"/>
      <c r="K318" s="444"/>
      <c r="L318" s="444"/>
      <c r="M318" s="444"/>
      <c r="N318" s="444"/>
      <c r="O318" s="445"/>
    </row>
    <row r="319" spans="1:15" x14ac:dyDescent="0.25">
      <c r="A319" s="168">
        <f>A317+1</f>
        <v>304</v>
      </c>
      <c r="B319" s="576" t="s">
        <v>444</v>
      </c>
      <c r="C319" s="560" t="s">
        <v>411</v>
      </c>
      <c r="D319" s="465" t="s">
        <v>445</v>
      </c>
      <c r="E319" s="373"/>
      <c r="F319" s="331"/>
      <c r="G319" s="557">
        <v>46081</v>
      </c>
      <c r="H319" s="331"/>
      <c r="I319" s="418"/>
      <c r="J319" s="302"/>
      <c r="K319" s="302"/>
      <c r="L319" s="302"/>
      <c r="M319" s="302"/>
      <c r="N319" s="302"/>
      <c r="O319" s="321"/>
    </row>
    <row r="320" spans="1:15" x14ac:dyDescent="0.25">
      <c r="A320" s="205">
        <f t="shared" ref="A320:A337" si="10">A319+1</f>
        <v>305</v>
      </c>
      <c r="B320" s="576"/>
      <c r="C320" s="560"/>
      <c r="D320" s="119" t="s">
        <v>446</v>
      </c>
      <c r="E320" s="31"/>
      <c r="F320" s="31"/>
      <c r="G320" s="557"/>
      <c r="H320" s="31"/>
      <c r="I320" s="54"/>
      <c r="J320" s="5"/>
      <c r="K320" s="5"/>
      <c r="L320" s="5"/>
      <c r="M320" s="5"/>
      <c r="N320" s="5"/>
      <c r="O320" s="304"/>
    </row>
    <row r="321" spans="1:15" ht="24" x14ac:dyDescent="0.25">
      <c r="A321" s="205">
        <f t="shared" si="10"/>
        <v>306</v>
      </c>
      <c r="B321" s="576"/>
      <c r="C321" s="560"/>
      <c r="D321" s="329" t="s">
        <v>447</v>
      </c>
      <c r="E321" s="331"/>
      <c r="F321" s="31"/>
      <c r="G321" s="557"/>
      <c r="H321" s="31"/>
      <c r="I321" s="341"/>
      <c r="J321" s="5"/>
      <c r="K321" s="5"/>
      <c r="L321" s="5"/>
      <c r="M321" s="5"/>
      <c r="N321" s="5"/>
      <c r="O321" s="304"/>
    </row>
    <row r="322" spans="1:15" x14ac:dyDescent="0.25">
      <c r="A322" s="205">
        <f t="shared" si="10"/>
        <v>307</v>
      </c>
      <c r="B322" s="576"/>
      <c r="C322" s="561"/>
      <c r="D322" s="329" t="s">
        <v>448</v>
      </c>
      <c r="E322" s="331"/>
      <c r="F322" s="31"/>
      <c r="G322" s="558"/>
      <c r="H322" s="31"/>
      <c r="I322" s="341"/>
      <c r="J322" s="5"/>
      <c r="K322" s="5"/>
      <c r="L322" s="5"/>
      <c r="M322" s="5"/>
      <c r="N322" s="5"/>
      <c r="O322" s="304"/>
    </row>
    <row r="323" spans="1:15" x14ac:dyDescent="0.25">
      <c r="A323" s="205">
        <f t="shared" si="10"/>
        <v>308</v>
      </c>
      <c r="B323" s="548"/>
      <c r="C323" s="555" t="s">
        <v>45</v>
      </c>
      <c r="D323" s="156" t="s">
        <v>449</v>
      </c>
      <c r="E323" s="13"/>
      <c r="F323" s="55" t="s">
        <v>21</v>
      </c>
      <c r="G323" s="557">
        <v>46083</v>
      </c>
      <c r="H323" s="31"/>
      <c r="I323" s="26"/>
      <c r="J323" s="5"/>
      <c r="K323" s="5"/>
      <c r="L323" s="5"/>
      <c r="M323" s="5"/>
      <c r="N323" s="5"/>
      <c r="O323" s="304"/>
    </row>
    <row r="324" spans="1:15" ht="24" x14ac:dyDescent="0.25">
      <c r="A324" s="205">
        <f t="shared" si="10"/>
        <v>309</v>
      </c>
      <c r="B324" s="576"/>
      <c r="C324" s="552"/>
      <c r="D324" s="156" t="s">
        <v>450</v>
      </c>
      <c r="E324" s="13"/>
      <c r="F324" s="55" t="s">
        <v>21</v>
      </c>
      <c r="G324" s="562"/>
      <c r="H324" s="31"/>
      <c r="I324" s="26"/>
      <c r="J324" s="5"/>
      <c r="K324" s="5"/>
      <c r="L324" s="5"/>
      <c r="M324" s="5"/>
      <c r="N324" s="5"/>
      <c r="O324" s="304"/>
    </row>
    <row r="325" spans="1:15" ht="24" x14ac:dyDescent="0.25">
      <c r="A325" s="205">
        <f t="shared" si="10"/>
        <v>310</v>
      </c>
      <c r="B325" s="576"/>
      <c r="C325" s="552"/>
      <c r="D325" s="334" t="s">
        <v>451</v>
      </c>
      <c r="E325" s="322"/>
      <c r="F325" s="55" t="s">
        <v>21</v>
      </c>
      <c r="G325" s="562"/>
      <c r="H325" s="31"/>
      <c r="I325" s="341"/>
      <c r="J325" s="5"/>
      <c r="K325" s="5"/>
      <c r="L325" s="5"/>
      <c r="M325" s="5"/>
      <c r="N325" s="5"/>
      <c r="O325" s="304"/>
    </row>
    <row r="326" spans="1:15" x14ac:dyDescent="0.25">
      <c r="A326" s="205">
        <f t="shared" si="10"/>
        <v>311</v>
      </c>
      <c r="B326" s="576"/>
      <c r="C326" s="552"/>
      <c r="D326" s="334" t="s">
        <v>452</v>
      </c>
      <c r="E326" s="322"/>
      <c r="F326" s="55" t="s">
        <v>21</v>
      </c>
      <c r="G326" s="563"/>
      <c r="H326" s="31"/>
      <c r="I326" s="341"/>
      <c r="J326" s="5"/>
      <c r="K326" s="5"/>
      <c r="L326" s="5"/>
      <c r="M326" s="5"/>
      <c r="N326" s="5"/>
      <c r="O326" s="304"/>
    </row>
    <row r="327" spans="1:15" x14ac:dyDescent="0.25">
      <c r="A327" s="205">
        <f t="shared" si="10"/>
        <v>312</v>
      </c>
      <c r="B327" s="576"/>
      <c r="C327" s="552"/>
      <c r="D327" s="334" t="s">
        <v>453</v>
      </c>
      <c r="E327" s="322"/>
      <c r="F327" s="335"/>
      <c r="G327" s="332">
        <v>46088</v>
      </c>
      <c r="H327" s="331"/>
      <c r="I327" s="341"/>
      <c r="J327" s="5"/>
      <c r="K327" s="5"/>
      <c r="L327" s="5"/>
      <c r="M327" s="5"/>
      <c r="N327" s="5"/>
      <c r="O327" s="304"/>
    </row>
    <row r="328" spans="1:15" ht="36" x14ac:dyDescent="0.25">
      <c r="A328" s="205">
        <f t="shared" si="10"/>
        <v>313</v>
      </c>
      <c r="B328" s="576"/>
      <c r="C328" s="552"/>
      <c r="D328" s="334" t="s">
        <v>454</v>
      </c>
      <c r="E328" s="322"/>
      <c r="F328" s="335"/>
      <c r="G328" s="332">
        <v>46088</v>
      </c>
      <c r="H328" s="331"/>
      <c r="I328" s="341"/>
      <c r="J328" s="5"/>
      <c r="K328" s="5"/>
      <c r="L328" s="5"/>
      <c r="M328" s="5"/>
      <c r="N328" s="5"/>
      <c r="O328" s="304"/>
    </row>
    <row r="329" spans="1:15" x14ac:dyDescent="0.25">
      <c r="A329" s="205">
        <f t="shared" si="10"/>
        <v>314</v>
      </c>
      <c r="B329" s="576"/>
      <c r="C329" s="552"/>
      <c r="D329" s="334" t="s">
        <v>455</v>
      </c>
      <c r="E329" s="322"/>
      <c r="F329" s="335"/>
      <c r="G329" s="332">
        <v>46088</v>
      </c>
      <c r="H329" s="331"/>
      <c r="I329" s="341"/>
      <c r="J329" s="5"/>
      <c r="K329" s="5"/>
      <c r="L329" s="5"/>
      <c r="M329" s="5"/>
      <c r="N329" s="5"/>
      <c r="O329" s="304"/>
    </row>
    <row r="330" spans="1:15" ht="24" x14ac:dyDescent="0.25">
      <c r="A330" s="205">
        <f t="shared" si="10"/>
        <v>315</v>
      </c>
      <c r="B330" s="576"/>
      <c r="C330" s="552"/>
      <c r="D330" s="334" t="s">
        <v>456</v>
      </c>
      <c r="E330" s="322"/>
      <c r="F330" s="335"/>
      <c r="G330" s="332">
        <v>46088</v>
      </c>
      <c r="H330" s="331"/>
      <c r="I330" s="341"/>
      <c r="J330" s="5"/>
      <c r="K330" s="5"/>
      <c r="L330" s="5"/>
      <c r="M330" s="5"/>
      <c r="N330" s="5"/>
      <c r="O330" s="304"/>
    </row>
    <row r="331" spans="1:15" ht="36" x14ac:dyDescent="0.25">
      <c r="A331" s="205">
        <f t="shared" si="10"/>
        <v>316</v>
      </c>
      <c r="B331" s="576"/>
      <c r="C331" s="553"/>
      <c r="D331" s="44" t="s">
        <v>457</v>
      </c>
      <c r="E331" s="322"/>
      <c r="F331" s="13"/>
      <c r="G331" s="332">
        <v>46088</v>
      </c>
      <c r="H331" s="31"/>
      <c r="I331" s="341"/>
      <c r="J331" s="5"/>
      <c r="K331" s="5"/>
      <c r="L331" s="5"/>
      <c r="M331" s="5"/>
      <c r="N331" s="5"/>
      <c r="O331" s="304"/>
    </row>
    <row r="332" spans="1:15" x14ac:dyDescent="0.25">
      <c r="A332" s="205">
        <f t="shared" si="10"/>
        <v>317</v>
      </c>
      <c r="B332" s="576"/>
      <c r="C332" s="555" t="s">
        <v>128</v>
      </c>
      <c r="D332" s="44" t="s">
        <v>458</v>
      </c>
      <c r="E332" s="322"/>
      <c r="F332" s="13"/>
      <c r="G332" s="557">
        <v>46086</v>
      </c>
      <c r="H332" s="31"/>
      <c r="I332" s="341"/>
      <c r="J332" s="5"/>
      <c r="K332" s="5"/>
      <c r="L332" s="5"/>
      <c r="M332" s="5"/>
      <c r="N332" s="5"/>
      <c r="O332" s="304"/>
    </row>
    <row r="333" spans="1:15" ht="24" x14ac:dyDescent="0.25">
      <c r="A333" s="205">
        <f t="shared" si="10"/>
        <v>318</v>
      </c>
      <c r="B333" s="576"/>
      <c r="C333" s="552"/>
      <c r="D333" s="44" t="s">
        <v>459</v>
      </c>
      <c r="E333" s="173"/>
      <c r="F333" s="13"/>
      <c r="G333" s="557"/>
      <c r="H333" s="31"/>
      <c r="I333" s="26"/>
      <c r="J333" s="5"/>
      <c r="K333" s="5"/>
      <c r="L333" s="5"/>
      <c r="M333" s="5"/>
      <c r="N333" s="5"/>
      <c r="O333" s="304"/>
    </row>
    <row r="334" spans="1:15" ht="24" x14ac:dyDescent="0.25">
      <c r="A334" s="205">
        <f t="shared" si="10"/>
        <v>319</v>
      </c>
      <c r="B334" s="576"/>
      <c r="C334" s="553"/>
      <c r="D334" s="156" t="s">
        <v>460</v>
      </c>
      <c r="E334" s="13"/>
      <c r="F334" s="344"/>
      <c r="G334" s="558"/>
      <c r="H334" s="356"/>
      <c r="I334" s="26"/>
      <c r="J334" s="5"/>
      <c r="K334" s="5"/>
      <c r="L334" s="5"/>
      <c r="M334" s="5"/>
      <c r="N334" s="5"/>
      <c r="O334" s="390"/>
    </row>
    <row r="335" spans="1:15" ht="19.5" customHeight="1" x14ac:dyDescent="0.25">
      <c r="A335" s="205">
        <f t="shared" si="10"/>
        <v>320</v>
      </c>
      <c r="B335" s="576"/>
      <c r="C335" s="308" t="s">
        <v>423</v>
      </c>
      <c r="D335" s="309" t="s">
        <v>459</v>
      </c>
      <c r="E335" s="310"/>
      <c r="F335" s="143" t="s">
        <v>81</v>
      </c>
      <c r="G335" s="198"/>
      <c r="H335" s="143" t="s">
        <v>14</v>
      </c>
      <c r="I335" s="150"/>
      <c r="J335" s="362"/>
      <c r="K335" s="362"/>
      <c r="L335" s="362"/>
      <c r="M335" s="362"/>
      <c r="N335" s="151"/>
      <c r="O335" s="312" t="s">
        <v>15</v>
      </c>
    </row>
    <row r="336" spans="1:15" ht="24" x14ac:dyDescent="0.25">
      <c r="A336" s="205">
        <f t="shared" si="10"/>
        <v>321</v>
      </c>
      <c r="B336" s="548"/>
      <c r="C336" s="635" t="s">
        <v>45</v>
      </c>
      <c r="D336" s="44" t="s">
        <v>461</v>
      </c>
      <c r="E336" s="328"/>
      <c r="F336" s="331"/>
      <c r="G336" s="332">
        <v>46088</v>
      </c>
      <c r="H336" s="331"/>
      <c r="I336" s="426" t="s">
        <v>462</v>
      </c>
      <c r="J336" s="5"/>
      <c r="K336" s="5"/>
      <c r="L336" s="5"/>
      <c r="M336" s="5"/>
      <c r="N336" s="5"/>
      <c r="O336" s="321"/>
    </row>
    <row r="337" spans="1:15" ht="38.25" customHeight="1" thickBot="1" x14ac:dyDescent="0.3">
      <c r="A337" s="205">
        <f t="shared" si="10"/>
        <v>322</v>
      </c>
      <c r="B337" s="576"/>
      <c r="C337" s="636"/>
      <c r="D337" s="315" t="s">
        <v>463</v>
      </c>
      <c r="E337" s="373"/>
      <c r="F337" s="356"/>
      <c r="G337" s="467">
        <v>46088</v>
      </c>
      <c r="H337" s="356"/>
      <c r="I337" s="468"/>
      <c r="J337" s="442"/>
      <c r="K337" s="442"/>
      <c r="L337" s="442"/>
      <c r="M337" s="442"/>
      <c r="N337" s="442"/>
      <c r="O337" s="390"/>
    </row>
    <row r="338" spans="1:15" ht="15.75" thickBot="1" x14ac:dyDescent="0.3">
      <c r="A338" s="164"/>
      <c r="B338" s="544" t="s">
        <v>464</v>
      </c>
      <c r="C338" s="545"/>
      <c r="D338" s="611"/>
      <c r="E338" s="130"/>
      <c r="F338" s="131"/>
      <c r="G338" s="130"/>
      <c r="H338" s="204"/>
      <c r="I338" s="132"/>
      <c r="J338" s="444"/>
      <c r="K338" s="444"/>
      <c r="L338" s="444"/>
      <c r="M338" s="444"/>
      <c r="N338" s="444"/>
      <c r="O338" s="445"/>
    </row>
    <row r="339" spans="1:15" ht="15.75" thickBot="1" x14ac:dyDescent="0.3">
      <c r="A339" s="184">
        <f>A337+1</f>
        <v>323</v>
      </c>
      <c r="B339" s="370" t="s">
        <v>465</v>
      </c>
      <c r="C339" s="20" t="s">
        <v>58</v>
      </c>
      <c r="D339" s="114" t="s">
        <v>466</v>
      </c>
      <c r="E339" s="73"/>
      <c r="F339" s="331" t="s">
        <v>21</v>
      </c>
      <c r="G339" s="332">
        <v>46081</v>
      </c>
      <c r="H339" s="73"/>
      <c r="I339" s="74"/>
      <c r="J339" s="302"/>
      <c r="K339" s="302"/>
      <c r="L339" s="302"/>
      <c r="M339" s="302"/>
      <c r="N339" s="302"/>
      <c r="O339" s="321"/>
    </row>
    <row r="340" spans="1:15" ht="15.75" thickBot="1" x14ac:dyDescent="0.3">
      <c r="A340" s="183">
        <f t="shared" ref="A340:A354" si="11">A339+1</f>
        <v>324</v>
      </c>
      <c r="B340" s="575" t="s">
        <v>467</v>
      </c>
      <c r="C340" s="568" t="s">
        <v>411</v>
      </c>
      <c r="D340" s="117" t="s">
        <v>468</v>
      </c>
      <c r="E340" s="64"/>
      <c r="F340" s="389" t="s">
        <v>21</v>
      </c>
      <c r="G340" s="557">
        <v>46081</v>
      </c>
      <c r="H340" s="64"/>
      <c r="I340" s="43"/>
      <c r="J340" s="5"/>
      <c r="K340" s="5"/>
      <c r="L340" s="5"/>
      <c r="M340" s="5"/>
      <c r="N340" s="5"/>
      <c r="O340" s="304"/>
    </row>
    <row r="341" spans="1:15" ht="15.75" thickBot="1" x14ac:dyDescent="0.3">
      <c r="A341" s="183">
        <f t="shared" si="11"/>
        <v>325</v>
      </c>
      <c r="B341" s="576"/>
      <c r="C341" s="560"/>
      <c r="D341" s="119" t="s">
        <v>469</v>
      </c>
      <c r="E341" s="31"/>
      <c r="F341" s="31" t="s">
        <v>21</v>
      </c>
      <c r="G341" s="562"/>
      <c r="H341" s="31"/>
      <c r="I341" s="26"/>
      <c r="J341" s="5"/>
      <c r="K341" s="5"/>
      <c r="L341" s="5"/>
      <c r="M341" s="5"/>
      <c r="N341" s="5"/>
      <c r="O341" s="304"/>
    </row>
    <row r="342" spans="1:15" ht="15.75" thickBot="1" x14ac:dyDescent="0.3">
      <c r="A342" s="183">
        <f t="shared" si="11"/>
        <v>326</v>
      </c>
      <c r="B342" s="576"/>
      <c r="C342" s="560"/>
      <c r="D342" s="354" t="s">
        <v>470</v>
      </c>
      <c r="E342" s="328"/>
      <c r="F342" s="389" t="s">
        <v>21</v>
      </c>
      <c r="G342" s="562"/>
      <c r="H342" s="331"/>
      <c r="I342" s="341"/>
      <c r="J342" s="5"/>
      <c r="K342" s="5"/>
      <c r="L342" s="5"/>
      <c r="M342" s="5"/>
      <c r="N342" s="5"/>
      <c r="O342" s="304"/>
    </row>
    <row r="343" spans="1:15" ht="24.75" thickBot="1" x14ac:dyDescent="0.3">
      <c r="A343" s="183">
        <f t="shared" si="11"/>
        <v>327</v>
      </c>
      <c r="B343" s="576"/>
      <c r="C343" s="560"/>
      <c r="D343" s="69" t="s">
        <v>471</v>
      </c>
      <c r="E343" s="328"/>
      <c r="F343" s="31"/>
      <c r="G343" s="562"/>
      <c r="H343" s="31"/>
      <c r="I343" s="341"/>
      <c r="J343" s="5"/>
      <c r="K343" s="5"/>
      <c r="L343" s="5"/>
      <c r="M343" s="5"/>
      <c r="N343" s="5"/>
      <c r="O343" s="304"/>
    </row>
    <row r="344" spans="1:15" ht="15.75" thickBot="1" x14ac:dyDescent="0.3">
      <c r="A344" s="183">
        <f t="shared" si="11"/>
        <v>328</v>
      </c>
      <c r="B344" s="576"/>
      <c r="C344" s="560"/>
      <c r="D344" s="69" t="s">
        <v>472</v>
      </c>
      <c r="E344" s="31"/>
      <c r="F344" s="31"/>
      <c r="G344" s="562"/>
      <c r="H344" s="356"/>
      <c r="I344" s="339"/>
      <c r="J344" s="5"/>
      <c r="K344" s="5"/>
      <c r="L344" s="5"/>
      <c r="M344" s="5"/>
      <c r="N344" s="5"/>
      <c r="O344" s="304"/>
    </row>
    <row r="345" spans="1:15" ht="15.75" thickBot="1" x14ac:dyDescent="0.3">
      <c r="A345" s="183">
        <f t="shared" si="11"/>
        <v>329</v>
      </c>
      <c r="B345" s="576"/>
      <c r="C345" s="574"/>
      <c r="D345" s="101" t="s">
        <v>473</v>
      </c>
      <c r="E345" s="20"/>
      <c r="F345" s="73"/>
      <c r="G345" s="622"/>
      <c r="H345" s="72"/>
      <c r="I345" s="74"/>
      <c r="J345" s="5"/>
      <c r="K345" s="5"/>
      <c r="L345" s="5"/>
      <c r="M345" s="5"/>
      <c r="N345" s="5"/>
      <c r="O345" s="304"/>
    </row>
    <row r="346" spans="1:15" ht="15.75" thickBot="1" x14ac:dyDescent="0.3">
      <c r="A346" s="183">
        <f t="shared" si="11"/>
        <v>330</v>
      </c>
      <c r="B346" s="586"/>
      <c r="C346" s="20" t="s">
        <v>474</v>
      </c>
      <c r="D346" s="101" t="s">
        <v>475</v>
      </c>
      <c r="E346" s="20"/>
      <c r="F346" s="73"/>
      <c r="G346" s="38">
        <v>46081</v>
      </c>
      <c r="H346" s="73"/>
      <c r="I346" s="74"/>
      <c r="J346" s="5"/>
      <c r="K346" s="5"/>
      <c r="L346" s="5"/>
      <c r="M346" s="5"/>
      <c r="N346" s="5"/>
      <c r="O346" s="304"/>
    </row>
    <row r="347" spans="1:15" ht="15.75" thickBot="1" x14ac:dyDescent="0.3">
      <c r="A347" s="183">
        <f t="shared" si="11"/>
        <v>331</v>
      </c>
      <c r="B347" s="410" t="s">
        <v>476</v>
      </c>
      <c r="C347" s="105" t="s">
        <v>477</v>
      </c>
      <c r="D347" s="208" t="s">
        <v>478</v>
      </c>
      <c r="E347" s="105"/>
      <c r="F347" s="427" t="s">
        <v>21</v>
      </c>
      <c r="G347" s="108">
        <v>46081</v>
      </c>
      <c r="H347" s="59"/>
      <c r="I347" s="60"/>
      <c r="J347" s="5"/>
      <c r="K347" s="5"/>
      <c r="L347" s="5"/>
      <c r="M347" s="5"/>
      <c r="N347" s="5"/>
      <c r="O347" s="304"/>
    </row>
    <row r="348" spans="1:15" ht="15.75" thickBot="1" x14ac:dyDescent="0.3">
      <c r="A348" s="183">
        <f t="shared" si="11"/>
        <v>332</v>
      </c>
      <c r="B348" s="377" t="s">
        <v>479</v>
      </c>
      <c r="C348" s="637" t="s">
        <v>480</v>
      </c>
      <c r="D348" s="329" t="s">
        <v>481</v>
      </c>
      <c r="E348" s="147"/>
      <c r="F348" s="31" t="s">
        <v>21</v>
      </c>
      <c r="G348" s="383">
        <v>46080</v>
      </c>
      <c r="H348" s="64"/>
      <c r="I348" s="43"/>
      <c r="J348" s="5"/>
      <c r="K348" s="5"/>
      <c r="L348" s="5"/>
      <c r="M348" s="5"/>
      <c r="N348" s="5"/>
      <c r="O348" s="304"/>
    </row>
    <row r="349" spans="1:15" ht="15.75" thickBot="1" x14ac:dyDescent="0.3">
      <c r="A349" s="183">
        <f t="shared" si="11"/>
        <v>333</v>
      </c>
      <c r="B349" s="394" t="s">
        <v>482</v>
      </c>
      <c r="C349" s="638"/>
      <c r="D349" s="69" t="s">
        <v>483</v>
      </c>
      <c r="E349" s="68"/>
      <c r="F349" s="31" t="s">
        <v>21</v>
      </c>
      <c r="G349" s="209">
        <v>46080</v>
      </c>
      <c r="H349" s="328"/>
      <c r="I349" s="336"/>
      <c r="J349" s="5"/>
      <c r="K349" s="5"/>
      <c r="L349" s="5"/>
      <c r="M349" s="5"/>
      <c r="N349" s="5"/>
      <c r="O349" s="304"/>
    </row>
    <row r="350" spans="1:15" ht="24.75" thickBot="1" x14ac:dyDescent="0.3">
      <c r="A350" s="183">
        <f t="shared" si="11"/>
        <v>334</v>
      </c>
      <c r="B350" s="394" t="s">
        <v>484</v>
      </c>
      <c r="C350" s="639"/>
      <c r="D350" s="354" t="s">
        <v>485</v>
      </c>
      <c r="E350" s="331"/>
      <c r="F350" s="31" t="s">
        <v>21</v>
      </c>
      <c r="G350" s="332">
        <v>46080</v>
      </c>
      <c r="H350" s="331"/>
      <c r="I350" s="336"/>
      <c r="J350" s="5"/>
      <c r="K350" s="5"/>
      <c r="L350" s="5"/>
      <c r="M350" s="5"/>
      <c r="N350" s="5"/>
      <c r="O350" s="304"/>
    </row>
    <row r="351" spans="1:15" ht="24.75" thickBot="1" x14ac:dyDescent="0.3">
      <c r="A351" s="183">
        <f t="shared" si="11"/>
        <v>335</v>
      </c>
      <c r="B351" s="376" t="s">
        <v>484</v>
      </c>
      <c r="C351" s="203" t="s">
        <v>319</v>
      </c>
      <c r="D351" s="329" t="s">
        <v>486</v>
      </c>
      <c r="E351" s="73"/>
      <c r="F351" s="389" t="s">
        <v>21</v>
      </c>
      <c r="G351" s="73" t="s">
        <v>487</v>
      </c>
      <c r="H351" s="72"/>
      <c r="I351" s="199"/>
      <c r="J351" s="5"/>
      <c r="K351" s="5"/>
      <c r="L351" s="5"/>
      <c r="M351" s="5"/>
      <c r="N351" s="5"/>
      <c r="O351" s="304"/>
    </row>
    <row r="352" spans="1:15" ht="15.75" thickBot="1" x14ac:dyDescent="0.3">
      <c r="A352" s="183">
        <f t="shared" si="11"/>
        <v>336</v>
      </c>
      <c r="B352" s="27" t="s">
        <v>488</v>
      </c>
      <c r="C352" s="568" t="s">
        <v>211</v>
      </c>
      <c r="D352" s="117" t="s">
        <v>489</v>
      </c>
      <c r="E352" s="64"/>
      <c r="F352" s="64"/>
      <c r="G352" s="118">
        <v>46092</v>
      </c>
      <c r="H352" s="64"/>
      <c r="I352" s="369"/>
      <c r="J352" s="5"/>
      <c r="K352" s="5"/>
      <c r="L352" s="5"/>
      <c r="M352" s="5"/>
      <c r="N352" s="5"/>
      <c r="O352" s="304"/>
    </row>
    <row r="353" spans="1:15" ht="27" customHeight="1" thickBot="1" x14ac:dyDescent="0.3">
      <c r="A353" s="183">
        <f t="shared" si="11"/>
        <v>337</v>
      </c>
      <c r="B353" s="370" t="s">
        <v>490</v>
      </c>
      <c r="C353" s="574"/>
      <c r="D353" s="114" t="s">
        <v>491</v>
      </c>
      <c r="E353" s="73"/>
      <c r="F353" s="72"/>
      <c r="G353" s="182">
        <v>46092</v>
      </c>
      <c r="H353" s="72"/>
      <c r="I353" s="112"/>
      <c r="J353" s="5"/>
      <c r="K353" s="5"/>
      <c r="L353" s="5"/>
      <c r="M353" s="5"/>
      <c r="N353" s="5"/>
      <c r="O353" s="304"/>
    </row>
    <row r="354" spans="1:15" ht="24.75" thickBot="1" x14ac:dyDescent="0.3">
      <c r="A354" s="297">
        <f t="shared" si="11"/>
        <v>338</v>
      </c>
      <c r="B354" s="81" t="s">
        <v>492</v>
      </c>
      <c r="C354" s="127" t="s">
        <v>58</v>
      </c>
      <c r="D354" s="408" t="s">
        <v>493</v>
      </c>
      <c r="E354" s="381"/>
      <c r="F354" s="381"/>
      <c r="G354" s="383">
        <v>46081</v>
      </c>
      <c r="H354" s="381"/>
      <c r="I354" s="369"/>
      <c r="J354" s="442"/>
      <c r="K354" s="442"/>
      <c r="L354" s="442"/>
      <c r="M354" s="442"/>
      <c r="N354" s="442"/>
      <c r="O354" s="390"/>
    </row>
    <row r="355" spans="1:15" ht="15.75" thickBot="1" x14ac:dyDescent="0.3">
      <c r="A355" s="164"/>
      <c r="B355" s="544" t="s">
        <v>494</v>
      </c>
      <c r="C355" s="545"/>
      <c r="D355" s="611"/>
      <c r="E355" s="130"/>
      <c r="F355" s="131"/>
      <c r="G355" s="130"/>
      <c r="H355" s="204"/>
      <c r="I355" s="132"/>
      <c r="J355" s="444"/>
      <c r="K355" s="444"/>
      <c r="L355" s="444"/>
      <c r="M355" s="444"/>
      <c r="N355" s="444"/>
      <c r="O355" s="445"/>
    </row>
    <row r="356" spans="1:15" ht="24" x14ac:dyDescent="0.25">
      <c r="A356" s="168">
        <f>A354+1</f>
        <v>339</v>
      </c>
      <c r="B356" s="576" t="s">
        <v>495</v>
      </c>
      <c r="C356" s="560" t="s">
        <v>496</v>
      </c>
      <c r="D356" s="443" t="s">
        <v>497</v>
      </c>
      <c r="E356" s="328"/>
      <c r="F356" s="389" t="s">
        <v>21</v>
      </c>
      <c r="G356" s="557">
        <v>46081</v>
      </c>
      <c r="H356" s="331"/>
      <c r="I356" s="336"/>
      <c r="J356" s="302"/>
      <c r="K356" s="302"/>
      <c r="L356" s="302"/>
      <c r="M356" s="302"/>
      <c r="N356" s="302"/>
      <c r="O356" s="321"/>
    </row>
    <row r="357" spans="1:15" ht="24" x14ac:dyDescent="0.25">
      <c r="A357" s="210">
        <f t="shared" ref="A357:A374" si="12">A356+1</f>
        <v>340</v>
      </c>
      <c r="B357" s="576"/>
      <c r="C357" s="560"/>
      <c r="D357" s="211" t="s">
        <v>498</v>
      </c>
      <c r="E357" s="122"/>
      <c r="F357" s="68" t="s">
        <v>21</v>
      </c>
      <c r="G357" s="557"/>
      <c r="H357" s="31"/>
      <c r="I357" s="26"/>
      <c r="J357" s="5"/>
      <c r="K357" s="5"/>
      <c r="L357" s="5"/>
      <c r="M357" s="5"/>
      <c r="N357" s="5"/>
      <c r="O357" s="304"/>
    </row>
    <row r="358" spans="1:15" ht="36" x14ac:dyDescent="0.25">
      <c r="A358" s="210">
        <f t="shared" si="12"/>
        <v>341</v>
      </c>
      <c r="B358" s="576"/>
      <c r="C358" s="561"/>
      <c r="D358" s="211" t="s">
        <v>499</v>
      </c>
      <c r="E358" s="328"/>
      <c r="F358" s="405" t="s">
        <v>21</v>
      </c>
      <c r="G358" s="557"/>
      <c r="H358" s="405"/>
      <c r="I358" s="341"/>
      <c r="J358" s="5"/>
      <c r="K358" s="5"/>
      <c r="L358" s="5"/>
      <c r="M358" s="5"/>
      <c r="N358" s="5"/>
      <c r="O358" s="304"/>
    </row>
    <row r="359" spans="1:15" ht="24" x14ac:dyDescent="0.25">
      <c r="A359" s="210">
        <f t="shared" si="12"/>
        <v>342</v>
      </c>
      <c r="B359" s="576"/>
      <c r="C359" s="580" t="s">
        <v>77</v>
      </c>
      <c r="D359" s="327" t="s">
        <v>500</v>
      </c>
      <c r="E359" s="99"/>
      <c r="F359" s="591" t="s">
        <v>335</v>
      </c>
      <c r="G359" s="591"/>
      <c r="H359" s="640" t="s">
        <v>21</v>
      </c>
      <c r="I359" s="428"/>
      <c r="J359" s="5"/>
      <c r="K359" s="5"/>
      <c r="L359" s="5"/>
      <c r="M359" s="5"/>
      <c r="N359" s="5"/>
      <c r="O359" s="304"/>
    </row>
    <row r="360" spans="1:15" x14ac:dyDescent="0.25">
      <c r="A360" s="210" t="s">
        <v>501</v>
      </c>
      <c r="B360" s="576"/>
      <c r="C360" s="565"/>
      <c r="D360" s="429" t="s">
        <v>502</v>
      </c>
      <c r="E360" s="180"/>
      <c r="F360" s="592"/>
      <c r="G360" s="592"/>
      <c r="H360" s="641"/>
      <c r="I360" s="430"/>
      <c r="J360" s="5"/>
      <c r="K360" s="5"/>
      <c r="L360" s="5"/>
      <c r="M360" s="5"/>
      <c r="N360" s="5"/>
      <c r="O360" s="304"/>
    </row>
    <row r="361" spans="1:15" ht="15.75" thickBot="1" x14ac:dyDescent="0.3">
      <c r="A361" s="210">
        <f>A359+1</f>
        <v>343</v>
      </c>
      <c r="B361" s="576"/>
      <c r="C361" s="565"/>
      <c r="D361" s="431" t="s">
        <v>503</v>
      </c>
      <c r="E361" s="98"/>
      <c r="F361" s="592"/>
      <c r="G361" s="592"/>
      <c r="H361" s="641"/>
      <c r="I361" s="213"/>
      <c r="J361" s="5"/>
      <c r="K361" s="5"/>
      <c r="L361" s="5"/>
      <c r="M361" s="5"/>
      <c r="N361" s="5"/>
      <c r="O361" s="304"/>
    </row>
    <row r="362" spans="1:15" ht="24.75" thickBot="1" x14ac:dyDescent="0.3">
      <c r="A362" s="210">
        <f t="shared" si="12"/>
        <v>344</v>
      </c>
      <c r="B362" s="432" t="s">
        <v>504</v>
      </c>
      <c r="C362" s="433" t="s">
        <v>77</v>
      </c>
      <c r="D362" s="214" t="s">
        <v>505</v>
      </c>
      <c r="E362" s="215"/>
      <c r="F362" s="593"/>
      <c r="G362" s="593"/>
      <c r="H362" s="642"/>
      <c r="I362" s="216"/>
      <c r="J362" s="5"/>
      <c r="K362" s="5"/>
      <c r="L362" s="5"/>
      <c r="M362" s="5"/>
      <c r="N362" s="5"/>
      <c r="O362" s="304"/>
    </row>
    <row r="363" spans="1:15" ht="24" customHeight="1" x14ac:dyDescent="0.25">
      <c r="A363" s="210">
        <f t="shared" si="12"/>
        <v>345</v>
      </c>
      <c r="B363" s="547" t="s">
        <v>506</v>
      </c>
      <c r="C363" s="560" t="s">
        <v>507</v>
      </c>
      <c r="D363" s="434" t="s">
        <v>508</v>
      </c>
      <c r="E363" s="328"/>
      <c r="F363" s="389" t="s">
        <v>21</v>
      </c>
      <c r="G363" s="557">
        <v>46081</v>
      </c>
      <c r="H363" s="331"/>
      <c r="I363" s="65"/>
      <c r="J363" s="5"/>
      <c r="K363" s="5"/>
      <c r="L363" s="5"/>
      <c r="M363" s="5"/>
      <c r="N363" s="5"/>
      <c r="O363" s="304"/>
    </row>
    <row r="364" spans="1:15" x14ac:dyDescent="0.25">
      <c r="A364" s="210">
        <f t="shared" si="12"/>
        <v>346</v>
      </c>
      <c r="B364" s="547"/>
      <c r="C364" s="560"/>
      <c r="D364" s="69" t="s">
        <v>509</v>
      </c>
      <c r="E364" s="328"/>
      <c r="F364" s="68" t="s">
        <v>21</v>
      </c>
      <c r="G364" s="562"/>
      <c r="H364" s="31"/>
      <c r="I364" s="341"/>
      <c r="J364" s="5"/>
      <c r="K364" s="5"/>
      <c r="L364" s="5"/>
      <c r="M364" s="5"/>
      <c r="N364" s="5"/>
      <c r="O364" s="304"/>
    </row>
    <row r="365" spans="1:15" ht="15.75" thickBot="1" x14ac:dyDescent="0.3">
      <c r="A365" s="210">
        <f t="shared" si="12"/>
        <v>347</v>
      </c>
      <c r="B365" s="547"/>
      <c r="C365" s="560"/>
      <c r="D365" s="70" t="s">
        <v>510</v>
      </c>
      <c r="E365" s="20"/>
      <c r="F365" s="189" t="s">
        <v>21</v>
      </c>
      <c r="G365" s="622"/>
      <c r="H365" s="72"/>
      <c r="I365" s="74"/>
      <c r="J365" s="5"/>
      <c r="K365" s="5"/>
      <c r="L365" s="5"/>
      <c r="M365" s="5"/>
      <c r="N365" s="5"/>
      <c r="O365" s="304"/>
    </row>
    <row r="366" spans="1:15" ht="15.75" thickBot="1" x14ac:dyDescent="0.3">
      <c r="A366" s="210"/>
      <c r="B366" s="549"/>
      <c r="C366" s="574"/>
      <c r="D366" s="101" t="s">
        <v>511</v>
      </c>
      <c r="E366" s="20"/>
      <c r="F366" s="396"/>
      <c r="G366" s="73"/>
      <c r="H366" s="373"/>
      <c r="I366" s="74"/>
      <c r="J366" s="5"/>
      <c r="K366" s="5"/>
      <c r="L366" s="5"/>
      <c r="M366" s="5"/>
      <c r="N366" s="5"/>
      <c r="O366" s="390"/>
    </row>
    <row r="367" spans="1:15" ht="27.75" customHeight="1" thickBot="1" x14ac:dyDescent="0.3">
      <c r="A367" s="210">
        <f>A365+1</f>
        <v>348</v>
      </c>
      <c r="B367" s="407" t="s">
        <v>512</v>
      </c>
      <c r="C367" s="217" t="s">
        <v>513</v>
      </c>
      <c r="D367" s="218" t="s">
        <v>514</v>
      </c>
      <c r="E367" s="176"/>
      <c r="F367" s="143" t="s">
        <v>81</v>
      </c>
      <c r="G367" s="198"/>
      <c r="H367" s="143" t="s">
        <v>14</v>
      </c>
      <c r="I367" s="150"/>
      <c r="J367" s="362"/>
      <c r="K367" s="362"/>
      <c r="L367" s="362"/>
      <c r="M367" s="362"/>
      <c r="N367" s="151"/>
      <c r="O367" s="312" t="s">
        <v>15</v>
      </c>
    </row>
    <row r="368" spans="1:15" x14ac:dyDescent="0.25">
      <c r="A368" s="210">
        <f t="shared" si="12"/>
        <v>349</v>
      </c>
      <c r="B368" s="395" t="s">
        <v>495</v>
      </c>
      <c r="C368" s="396" t="s">
        <v>496</v>
      </c>
      <c r="D368" s="372" t="s">
        <v>515</v>
      </c>
      <c r="E368" s="371"/>
      <c r="F368" s="396"/>
      <c r="G368" s="371"/>
      <c r="H368" s="373"/>
      <c r="I368" s="435"/>
      <c r="J368" s="5"/>
      <c r="K368" s="5"/>
      <c r="L368" s="5"/>
      <c r="M368" s="5"/>
      <c r="N368" s="5"/>
      <c r="O368" s="321"/>
    </row>
    <row r="369" spans="1:15" x14ac:dyDescent="0.25">
      <c r="A369" s="210">
        <f t="shared" si="12"/>
        <v>350</v>
      </c>
      <c r="B369" s="643" t="s">
        <v>516</v>
      </c>
      <c r="C369" s="644" t="s">
        <v>496</v>
      </c>
      <c r="D369" s="69" t="s">
        <v>517</v>
      </c>
      <c r="E369" s="68"/>
      <c r="F369" s="68"/>
      <c r="G369" s="68"/>
      <c r="H369" s="68"/>
      <c r="I369" s="54"/>
      <c r="J369" s="5"/>
      <c r="K369" s="5"/>
      <c r="L369" s="5"/>
      <c r="M369" s="5"/>
      <c r="N369" s="5"/>
      <c r="O369" s="304"/>
    </row>
    <row r="370" spans="1:15" x14ac:dyDescent="0.25">
      <c r="A370" s="210">
        <f t="shared" si="12"/>
        <v>351</v>
      </c>
      <c r="B370" s="643"/>
      <c r="C370" s="644"/>
      <c r="D370" s="69" t="s">
        <v>518</v>
      </c>
      <c r="E370" s="68"/>
      <c r="F370" s="68"/>
      <c r="G370" s="68"/>
      <c r="H370" s="68"/>
      <c r="I370" s="26"/>
      <c r="J370" s="5"/>
      <c r="K370" s="5"/>
      <c r="L370" s="5"/>
      <c r="M370" s="5"/>
      <c r="N370" s="5"/>
      <c r="O370" s="304"/>
    </row>
    <row r="371" spans="1:15" x14ac:dyDescent="0.25">
      <c r="A371" s="210">
        <f t="shared" si="12"/>
        <v>352</v>
      </c>
      <c r="B371" s="643"/>
      <c r="C371" s="644"/>
      <c r="D371" s="69" t="s">
        <v>519</v>
      </c>
      <c r="E371" s="68"/>
      <c r="F371" s="404"/>
      <c r="G371" s="68"/>
      <c r="H371" s="68"/>
      <c r="I371" s="26"/>
      <c r="J371" s="5"/>
      <c r="K371" s="5"/>
      <c r="L371" s="5"/>
      <c r="M371" s="5"/>
      <c r="N371" s="5"/>
      <c r="O371" s="304"/>
    </row>
    <row r="372" spans="1:15" ht="24" x14ac:dyDescent="0.25">
      <c r="A372" s="210">
        <f t="shared" si="12"/>
        <v>353</v>
      </c>
      <c r="B372" s="643"/>
      <c r="C372" s="644" t="s">
        <v>184</v>
      </c>
      <c r="D372" s="69" t="s">
        <v>520</v>
      </c>
      <c r="E372" s="68"/>
      <c r="F372" s="68"/>
      <c r="G372" s="559" t="s">
        <v>521</v>
      </c>
      <c r="H372" s="68"/>
      <c r="I372" s="26"/>
      <c r="J372" s="5"/>
      <c r="K372" s="5"/>
      <c r="L372" s="5"/>
      <c r="M372" s="5"/>
      <c r="N372" s="5"/>
      <c r="O372" s="304"/>
    </row>
    <row r="373" spans="1:15" ht="15" customHeight="1" x14ac:dyDescent="0.25">
      <c r="A373" s="210">
        <f t="shared" si="12"/>
        <v>354</v>
      </c>
      <c r="B373" s="643"/>
      <c r="C373" s="644"/>
      <c r="D373" s="69" t="s">
        <v>522</v>
      </c>
      <c r="E373" s="68"/>
      <c r="F373" s="68"/>
      <c r="G373" s="561"/>
      <c r="H373" s="68"/>
      <c r="I373" s="26"/>
      <c r="J373" s="5"/>
      <c r="K373" s="5"/>
      <c r="L373" s="5"/>
      <c r="M373" s="5"/>
      <c r="N373" s="5"/>
      <c r="O373" s="304"/>
    </row>
    <row r="374" spans="1:15" ht="15.75" thickBot="1" x14ac:dyDescent="0.3">
      <c r="A374" s="469">
        <f t="shared" si="12"/>
        <v>355</v>
      </c>
      <c r="B374" s="470" t="s">
        <v>523</v>
      </c>
      <c r="C374" s="405" t="s">
        <v>58</v>
      </c>
      <c r="D374" s="360" t="s">
        <v>524</v>
      </c>
      <c r="E374" s="405"/>
      <c r="F374" s="405"/>
      <c r="G374" s="467">
        <v>46081</v>
      </c>
      <c r="H374" s="405"/>
      <c r="I374" s="423"/>
      <c r="J374" s="442"/>
      <c r="K374" s="442"/>
      <c r="L374" s="442"/>
      <c r="M374" s="442"/>
      <c r="N374" s="442"/>
      <c r="O374" s="390"/>
    </row>
    <row r="375" spans="1:15" ht="15.75" thickBot="1" x14ac:dyDescent="0.3">
      <c r="A375" s="164"/>
      <c r="B375" s="544" t="s">
        <v>525</v>
      </c>
      <c r="C375" s="545"/>
      <c r="D375" s="611"/>
      <c r="E375" s="130"/>
      <c r="F375" s="131"/>
      <c r="G375" s="130"/>
      <c r="H375" s="204"/>
      <c r="I375" s="132"/>
      <c r="J375" s="444"/>
      <c r="K375" s="444"/>
      <c r="L375" s="444"/>
      <c r="M375" s="444"/>
      <c r="N375" s="444"/>
      <c r="O375" s="445"/>
    </row>
    <row r="376" spans="1:15" ht="18" customHeight="1" x14ac:dyDescent="0.25">
      <c r="A376" s="168">
        <f>A374+1</f>
        <v>356</v>
      </c>
      <c r="B376" s="576" t="s">
        <v>526</v>
      </c>
      <c r="C376" s="310" t="s">
        <v>527</v>
      </c>
      <c r="D376" s="471" t="s">
        <v>528</v>
      </c>
      <c r="E376" s="197"/>
      <c r="F376" s="197" t="s">
        <v>81</v>
      </c>
      <c r="G376" s="198"/>
      <c r="H376" s="197" t="s">
        <v>14</v>
      </c>
      <c r="I376" s="422"/>
      <c r="J376" s="362"/>
      <c r="K376" s="362"/>
      <c r="L376" s="362"/>
      <c r="M376" s="362"/>
      <c r="N376" s="151"/>
      <c r="O376" s="464" t="s">
        <v>15</v>
      </c>
    </row>
    <row r="377" spans="1:15" ht="24.75" thickBot="1" x14ac:dyDescent="0.3">
      <c r="A377" s="447">
        <f>A376+1</f>
        <v>357</v>
      </c>
      <c r="B377" s="586"/>
      <c r="C377" s="72" t="s">
        <v>100</v>
      </c>
      <c r="D377" s="436" t="s">
        <v>529</v>
      </c>
      <c r="E377" s="437"/>
      <c r="F377" s="437"/>
      <c r="G377" s="438" t="s">
        <v>530</v>
      </c>
      <c r="H377" s="437"/>
      <c r="I377" s="439"/>
      <c r="J377" s="440"/>
      <c r="K377" s="440"/>
      <c r="L377" s="440"/>
      <c r="M377" s="440"/>
      <c r="N377" s="440"/>
      <c r="O377" s="441"/>
    </row>
    <row r="378" spans="1:15" x14ac:dyDescent="0.25">
      <c r="A378" s="206"/>
      <c r="B378" s="120"/>
      <c r="C378" s="120"/>
      <c r="D378" s="219"/>
      <c r="E378" s="120"/>
      <c r="F378" s="220"/>
      <c r="G378" s="120"/>
      <c r="H378" s="220"/>
      <c r="I378" s="221"/>
    </row>
    <row r="379" spans="1:15" ht="42.75" customHeight="1" x14ac:dyDescent="0.25">
      <c r="I379" s="223"/>
    </row>
    <row r="380" spans="1:15" ht="42.75" customHeight="1" x14ac:dyDescent="0.25">
      <c r="I380" s="223"/>
    </row>
    <row r="381" spans="1:15" ht="42.75" customHeight="1" x14ac:dyDescent="0.25">
      <c r="I381" s="223"/>
    </row>
    <row r="382" spans="1:15" x14ac:dyDescent="0.25">
      <c r="I382" s="223"/>
    </row>
    <row r="383" spans="1:15" x14ac:dyDescent="0.25">
      <c r="I383" s="212"/>
    </row>
    <row r="384" spans="1:15" x14ac:dyDescent="0.25">
      <c r="I384" s="212"/>
    </row>
    <row r="385" spans="9:9" x14ac:dyDescent="0.25">
      <c r="I385" s="223"/>
    </row>
    <row r="386" spans="9:9" x14ac:dyDescent="0.25">
      <c r="I386" s="223"/>
    </row>
    <row r="387" spans="9:9" x14ac:dyDescent="0.25">
      <c r="I387" s="212"/>
    </row>
    <row r="388" spans="9:9" x14ac:dyDescent="0.25">
      <c r="I388" s="212"/>
    </row>
    <row r="389" spans="9:9" x14ac:dyDescent="0.25">
      <c r="I389" s="212"/>
    </row>
    <row r="390" spans="9:9" x14ac:dyDescent="0.25">
      <c r="I390" s="212"/>
    </row>
    <row r="391" spans="9:9" x14ac:dyDescent="0.25">
      <c r="I391" s="223"/>
    </row>
    <row r="392" spans="9:9" x14ac:dyDescent="0.25">
      <c r="I392" s="223"/>
    </row>
    <row r="393" spans="9:9" x14ac:dyDescent="0.25">
      <c r="I393" s="223"/>
    </row>
    <row r="394" spans="9:9" x14ac:dyDescent="0.25">
      <c r="I394" s="212"/>
    </row>
    <row r="395" spans="9:9" x14ac:dyDescent="0.25">
      <c r="I395" s="212"/>
    </row>
    <row r="396" spans="9:9" x14ac:dyDescent="0.25">
      <c r="I396" s="223"/>
    </row>
    <row r="397" spans="9:9" x14ac:dyDescent="0.25">
      <c r="I397" s="223"/>
    </row>
    <row r="398" spans="9:9" x14ac:dyDescent="0.25">
      <c r="I398" s="212"/>
    </row>
    <row r="399" spans="9:9" x14ac:dyDescent="0.25">
      <c r="I399" s="212"/>
    </row>
    <row r="400" spans="9:9" x14ac:dyDescent="0.25">
      <c r="I400" s="223"/>
    </row>
    <row r="401" spans="9:9" x14ac:dyDescent="0.25">
      <c r="I401" s="223"/>
    </row>
  </sheetData>
  <autoFilter ref="A3:O378" xr:uid="{00000000-0009-0000-0000-000000000000}">
    <filterColumn colId="9" showButton="0"/>
    <filterColumn colId="10" showButton="0"/>
    <filterColumn colId="11" showButton="0"/>
    <filterColumn colId="12" showButton="0"/>
    <filterColumn colId="14" showButton="0"/>
  </autoFilter>
  <mergeCells count="191">
    <mergeCell ref="B376:B377"/>
    <mergeCell ref="H359:H362"/>
    <mergeCell ref="B363:B366"/>
    <mergeCell ref="C363:C366"/>
    <mergeCell ref="G363:G365"/>
    <mergeCell ref="B369:B373"/>
    <mergeCell ref="C369:C371"/>
    <mergeCell ref="C372:C373"/>
    <mergeCell ref="G372:G373"/>
    <mergeCell ref="B375:D375"/>
    <mergeCell ref="B338:D338"/>
    <mergeCell ref="B340:B346"/>
    <mergeCell ref="C340:C345"/>
    <mergeCell ref="G340:G345"/>
    <mergeCell ref="C348:C350"/>
    <mergeCell ref="C352:C353"/>
    <mergeCell ref="B355:D355"/>
    <mergeCell ref="B356:B361"/>
    <mergeCell ref="C356:C358"/>
    <mergeCell ref="G356:G358"/>
    <mergeCell ref="C359:C361"/>
    <mergeCell ref="F359:F362"/>
    <mergeCell ref="G359:G362"/>
    <mergeCell ref="B315:B317"/>
    <mergeCell ref="C315:C316"/>
    <mergeCell ref="B318:D318"/>
    <mergeCell ref="B319:B337"/>
    <mergeCell ref="C319:C322"/>
    <mergeCell ref="G319:G322"/>
    <mergeCell ref="C323:C331"/>
    <mergeCell ref="G323:G326"/>
    <mergeCell ref="C332:C334"/>
    <mergeCell ref="G332:G334"/>
    <mergeCell ref="C336:C337"/>
    <mergeCell ref="H297:H299"/>
    <mergeCell ref="O297:O299"/>
    <mergeCell ref="B302:B305"/>
    <mergeCell ref="C304:C305"/>
    <mergeCell ref="G304:G305"/>
    <mergeCell ref="B306:B310"/>
    <mergeCell ref="C307:C308"/>
    <mergeCell ref="G307:G308"/>
    <mergeCell ref="B311:B314"/>
    <mergeCell ref="C311:C312"/>
    <mergeCell ref="G311:G312"/>
    <mergeCell ref="C313:C314"/>
    <mergeCell ref="G313:G314"/>
    <mergeCell ref="B285:B286"/>
    <mergeCell ref="B287:B288"/>
    <mergeCell ref="B289:B290"/>
    <mergeCell ref="B293:B296"/>
    <mergeCell ref="C294:C295"/>
    <mergeCell ref="G294:G295"/>
    <mergeCell ref="B297:B301"/>
    <mergeCell ref="F297:F299"/>
    <mergeCell ref="G297:G299"/>
    <mergeCell ref="H264:H265"/>
    <mergeCell ref="C266:C269"/>
    <mergeCell ref="B273:B274"/>
    <mergeCell ref="C273:C274"/>
    <mergeCell ref="G273:G274"/>
    <mergeCell ref="C276:C277"/>
    <mergeCell ref="C278:C279"/>
    <mergeCell ref="B282:D282"/>
    <mergeCell ref="B283:B284"/>
    <mergeCell ref="B252:B257"/>
    <mergeCell ref="C252:C253"/>
    <mergeCell ref="G252:G253"/>
    <mergeCell ref="C254:C255"/>
    <mergeCell ref="B258:B263"/>
    <mergeCell ref="C258:C260"/>
    <mergeCell ref="G258:G260"/>
    <mergeCell ref="B264:B272"/>
    <mergeCell ref="C264:C265"/>
    <mergeCell ref="F264:F265"/>
    <mergeCell ref="G264:G265"/>
    <mergeCell ref="B238:B240"/>
    <mergeCell ref="C238:C240"/>
    <mergeCell ref="G238:G240"/>
    <mergeCell ref="B241:B244"/>
    <mergeCell ref="C241:C244"/>
    <mergeCell ref="G241:G244"/>
    <mergeCell ref="C245:C246"/>
    <mergeCell ref="C247:C249"/>
    <mergeCell ref="B251:D251"/>
    <mergeCell ref="B225:B237"/>
    <mergeCell ref="C227:C229"/>
    <mergeCell ref="F227:F229"/>
    <mergeCell ref="G227:G229"/>
    <mergeCell ref="H227:H229"/>
    <mergeCell ref="I227:I229"/>
    <mergeCell ref="O227:O229"/>
    <mergeCell ref="C230:C237"/>
    <mergeCell ref="F230:F231"/>
    <mergeCell ref="G230:G231"/>
    <mergeCell ref="H230:H231"/>
    <mergeCell ref="H204:H205"/>
    <mergeCell ref="C207:C211"/>
    <mergeCell ref="C213:C214"/>
    <mergeCell ref="B216:D216"/>
    <mergeCell ref="B217:B219"/>
    <mergeCell ref="C218:C219"/>
    <mergeCell ref="B220:B224"/>
    <mergeCell ref="C220:C221"/>
    <mergeCell ref="C222:C224"/>
    <mergeCell ref="B192:B199"/>
    <mergeCell ref="C192:C195"/>
    <mergeCell ref="G192:G195"/>
    <mergeCell ref="B200:B203"/>
    <mergeCell ref="C200:C203"/>
    <mergeCell ref="G200:G203"/>
    <mergeCell ref="B204:B214"/>
    <mergeCell ref="C204:C205"/>
    <mergeCell ref="F204:F205"/>
    <mergeCell ref="B173:B175"/>
    <mergeCell ref="C173:C175"/>
    <mergeCell ref="G173:G175"/>
    <mergeCell ref="C176:C177"/>
    <mergeCell ref="C179:C180"/>
    <mergeCell ref="B182:D182"/>
    <mergeCell ref="B184:B185"/>
    <mergeCell ref="B186:B191"/>
    <mergeCell ref="C186:C191"/>
    <mergeCell ref="B143:B146"/>
    <mergeCell ref="C144:C146"/>
    <mergeCell ref="G144:G146"/>
    <mergeCell ref="B147:B172"/>
    <mergeCell ref="C148:C151"/>
    <mergeCell ref="F149:F151"/>
    <mergeCell ref="H149:H151"/>
    <mergeCell ref="C152:C170"/>
    <mergeCell ref="C171:C172"/>
    <mergeCell ref="C126:C127"/>
    <mergeCell ref="C128:C130"/>
    <mergeCell ref="C131:C135"/>
    <mergeCell ref="B138:D138"/>
    <mergeCell ref="B139:B142"/>
    <mergeCell ref="C140:C142"/>
    <mergeCell ref="B112:B113"/>
    <mergeCell ref="C112:C113"/>
    <mergeCell ref="F112:F113"/>
    <mergeCell ref="G112:G113"/>
    <mergeCell ref="H112:H113"/>
    <mergeCell ref="C114:C115"/>
    <mergeCell ref="B116:B125"/>
    <mergeCell ref="C116:C119"/>
    <mergeCell ref="C120:C121"/>
    <mergeCell ref="G122:G124"/>
    <mergeCell ref="B89:B90"/>
    <mergeCell ref="B91:B107"/>
    <mergeCell ref="C92:C101"/>
    <mergeCell ref="G92:G101"/>
    <mergeCell ref="C103:C104"/>
    <mergeCell ref="F103:F104"/>
    <mergeCell ref="H103:H104"/>
    <mergeCell ref="B108:B110"/>
    <mergeCell ref="C108:C110"/>
    <mergeCell ref="F108:F109"/>
    <mergeCell ref="H108:H109"/>
    <mergeCell ref="B58:B75"/>
    <mergeCell ref="C58:C61"/>
    <mergeCell ref="G58:G61"/>
    <mergeCell ref="C65:C71"/>
    <mergeCell ref="G65:G71"/>
    <mergeCell ref="A72:A73"/>
    <mergeCell ref="B76:B88"/>
    <mergeCell ref="C76:C77"/>
    <mergeCell ref="G76:G77"/>
    <mergeCell ref="C79:C82"/>
    <mergeCell ref="G79:G82"/>
    <mergeCell ref="B16:B26"/>
    <mergeCell ref="B27:B31"/>
    <mergeCell ref="C27:C29"/>
    <mergeCell ref="B32:B42"/>
    <mergeCell ref="C32:C40"/>
    <mergeCell ref="B44:B48"/>
    <mergeCell ref="B49:B57"/>
    <mergeCell ref="C50:C52"/>
    <mergeCell ref="G50:G52"/>
    <mergeCell ref="C54:C56"/>
    <mergeCell ref="G54:G56"/>
    <mergeCell ref="C16:C18"/>
    <mergeCell ref="J3:N3"/>
    <mergeCell ref="A4:A5"/>
    <mergeCell ref="B4:B5"/>
    <mergeCell ref="C4:C5"/>
    <mergeCell ref="D4:D5"/>
    <mergeCell ref="E4:F4"/>
    <mergeCell ref="H4:O4"/>
    <mergeCell ref="B7:D7"/>
    <mergeCell ref="B15:D15"/>
  </mergeCells>
  <pageMargins left="0.70866141732283461" right="0.70866141732283461" top="0.74803149606299213" bottom="0.74803149606299213" header="0.31496062992125984" footer="0.31496062992125984"/>
  <pageSetup paperSize="9" scale="84" fitToHeight="0" orientation="landscape" useFirstPageNumber="1" horizontalDpi="2147483648" verticalDpi="214748364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N62"/>
  <sheetViews>
    <sheetView topLeftCell="B7" workbookViewId="0"/>
  </sheetViews>
  <sheetFormatPr defaultRowHeight="15" x14ac:dyDescent="0.25"/>
  <cols>
    <col min="1" max="1" width="5.7109375" customWidth="1"/>
    <col min="2" max="2" width="16.7109375" customWidth="1"/>
    <col min="3" max="3" width="5.28515625" customWidth="1"/>
    <col min="4" max="4" width="24.140625" customWidth="1"/>
    <col min="5" max="32" width="2.7109375" customWidth="1"/>
    <col min="33" max="33" width="12" bestFit="1"/>
    <col min="34" max="34" width="19.140625" customWidth="1"/>
  </cols>
  <sheetData>
    <row r="1" spans="3:33" x14ac:dyDescent="0.25">
      <c r="C1" s="1"/>
      <c r="D1" s="1"/>
      <c r="E1" s="1"/>
      <c r="F1" s="1"/>
      <c r="G1" s="1"/>
      <c r="H1" s="645" t="s">
        <v>531</v>
      </c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5"/>
      <c r="U1" s="645"/>
      <c r="V1" s="645"/>
      <c r="W1" s="645"/>
      <c r="X1" s="645"/>
      <c r="Y1" s="1"/>
      <c r="Z1" s="1"/>
      <c r="AA1" s="1"/>
      <c r="AB1" s="1"/>
      <c r="AC1" s="1"/>
      <c r="AD1" s="1"/>
      <c r="AE1" s="1"/>
      <c r="AF1" s="1"/>
    </row>
    <row r="2" spans="3:33" x14ac:dyDescent="0.25">
      <c r="C2" s="1"/>
      <c r="D2" s="1"/>
      <c r="E2" s="224" t="s">
        <v>532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3:33" x14ac:dyDescent="0.25">
      <c r="C3" s="646" t="s">
        <v>2</v>
      </c>
      <c r="D3" s="646" t="s">
        <v>533</v>
      </c>
      <c r="E3" s="648" t="s">
        <v>1</v>
      </c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  <c r="Q3" s="648"/>
      <c r="R3" s="648"/>
      <c r="S3" s="648"/>
      <c r="T3" s="648"/>
      <c r="U3" s="648"/>
      <c r="V3" s="648"/>
      <c r="W3" s="648"/>
      <c r="X3" s="648"/>
      <c r="Y3" s="648"/>
      <c r="Z3" s="648"/>
      <c r="AA3" s="648"/>
      <c r="AB3" s="648"/>
      <c r="AC3" s="648"/>
      <c r="AD3" s="648"/>
      <c r="AE3" s="648"/>
      <c r="AF3" s="648"/>
      <c r="AG3" s="649" t="s">
        <v>534</v>
      </c>
    </row>
    <row r="4" spans="3:33" x14ac:dyDescent="0.25">
      <c r="C4" s="647"/>
      <c r="D4" s="647"/>
      <c r="E4" s="225">
        <v>1</v>
      </c>
      <c r="F4" s="226">
        <v>2</v>
      </c>
      <c r="G4" s="226">
        <v>3</v>
      </c>
      <c r="H4" s="226">
        <v>4</v>
      </c>
      <c r="I4" s="226">
        <v>5</v>
      </c>
      <c r="J4" s="226">
        <v>6</v>
      </c>
      <c r="K4" s="225">
        <v>7</v>
      </c>
      <c r="L4" s="225">
        <v>8</v>
      </c>
      <c r="M4" s="226">
        <v>9</v>
      </c>
      <c r="N4" s="226">
        <v>10</v>
      </c>
      <c r="O4" s="226">
        <v>11</v>
      </c>
      <c r="P4" s="227">
        <v>12</v>
      </c>
      <c r="Q4" s="226">
        <v>13</v>
      </c>
      <c r="R4" s="225">
        <v>14</v>
      </c>
      <c r="S4" s="225">
        <v>15</v>
      </c>
      <c r="T4" s="226">
        <v>16</v>
      </c>
      <c r="U4" s="226">
        <v>17</v>
      </c>
      <c r="V4" s="226">
        <v>18</v>
      </c>
      <c r="W4" s="226">
        <v>19</v>
      </c>
      <c r="X4" s="226">
        <v>20</v>
      </c>
      <c r="Y4" s="225">
        <v>21</v>
      </c>
      <c r="Z4" s="225">
        <v>22</v>
      </c>
      <c r="AA4" s="226">
        <v>23</v>
      </c>
      <c r="AB4" s="226">
        <v>24</v>
      </c>
      <c r="AC4" s="226">
        <v>25</v>
      </c>
      <c r="AD4" s="226">
        <v>26</v>
      </c>
      <c r="AE4" s="226">
        <v>27</v>
      </c>
      <c r="AF4" s="228">
        <v>28</v>
      </c>
      <c r="AG4" s="650"/>
    </row>
    <row r="5" spans="3:33" x14ac:dyDescent="0.25">
      <c r="C5" s="229">
        <v>1</v>
      </c>
      <c r="D5" s="230" t="s">
        <v>16</v>
      </c>
      <c r="E5" s="231" t="s">
        <v>532</v>
      </c>
      <c r="F5" s="232" t="s">
        <v>532</v>
      </c>
      <c r="G5" s="232" t="s">
        <v>532</v>
      </c>
      <c r="H5" s="233" t="s">
        <v>532</v>
      </c>
      <c r="I5" s="232" t="s">
        <v>532</v>
      </c>
      <c r="J5" s="232" t="s">
        <v>532</v>
      </c>
      <c r="K5" s="231" t="s">
        <v>532</v>
      </c>
      <c r="L5" s="231" t="s">
        <v>532</v>
      </c>
      <c r="M5" s="232" t="s">
        <v>532</v>
      </c>
      <c r="N5" s="232" t="s">
        <v>532</v>
      </c>
      <c r="O5" s="234" t="s">
        <v>532</v>
      </c>
      <c r="P5" s="235" t="s">
        <v>532</v>
      </c>
      <c r="Q5" s="232" t="s">
        <v>532</v>
      </c>
      <c r="R5" s="231" t="s">
        <v>532</v>
      </c>
      <c r="S5" s="231" t="s">
        <v>532</v>
      </c>
      <c r="T5" s="236" t="s">
        <v>532</v>
      </c>
      <c r="U5" s="232" t="s">
        <v>532</v>
      </c>
      <c r="V5" s="232" t="s">
        <v>532</v>
      </c>
      <c r="W5" s="237" t="s">
        <v>532</v>
      </c>
      <c r="X5" s="232" t="s">
        <v>532</v>
      </c>
      <c r="Y5" s="231" t="s">
        <v>532</v>
      </c>
      <c r="Z5" s="231" t="s">
        <v>532</v>
      </c>
      <c r="AA5" s="232" t="s">
        <v>532</v>
      </c>
      <c r="AB5" s="232" t="s">
        <v>532</v>
      </c>
      <c r="AC5" s="232" t="s">
        <v>532</v>
      </c>
      <c r="AD5" s="232" t="s">
        <v>532</v>
      </c>
      <c r="AE5" s="232" t="s">
        <v>532</v>
      </c>
      <c r="AF5" s="238" t="s">
        <v>532</v>
      </c>
      <c r="AG5" s="239"/>
    </row>
    <row r="6" spans="3:33" x14ac:dyDescent="0.25">
      <c r="C6" s="240">
        <v>2</v>
      </c>
      <c r="D6" s="241" t="s">
        <v>41</v>
      </c>
      <c r="E6" s="231" t="s">
        <v>532</v>
      </c>
      <c r="F6" s="232" t="s">
        <v>532</v>
      </c>
      <c r="G6" s="232" t="s">
        <v>532</v>
      </c>
      <c r="H6" s="232" t="s">
        <v>532</v>
      </c>
      <c r="I6" s="232" t="s">
        <v>532</v>
      </c>
      <c r="J6" s="232" t="s">
        <v>532</v>
      </c>
      <c r="K6" s="231" t="s">
        <v>532</v>
      </c>
      <c r="L6" s="231" t="s">
        <v>532</v>
      </c>
      <c r="M6" s="232" t="s">
        <v>532</v>
      </c>
      <c r="N6" s="232" t="s">
        <v>532</v>
      </c>
      <c r="O6" s="232" t="s">
        <v>532</v>
      </c>
      <c r="P6" s="232" t="s">
        <v>532</v>
      </c>
      <c r="Q6" s="232" t="s">
        <v>532</v>
      </c>
      <c r="R6" s="231" t="s">
        <v>532</v>
      </c>
      <c r="S6" s="231" t="s">
        <v>532</v>
      </c>
      <c r="T6" s="232" t="s">
        <v>532</v>
      </c>
      <c r="U6" s="232" t="s">
        <v>532</v>
      </c>
      <c r="V6" s="236" t="s">
        <v>532</v>
      </c>
      <c r="W6" s="232" t="s">
        <v>532</v>
      </c>
      <c r="X6" s="232" t="s">
        <v>532</v>
      </c>
      <c r="Y6" s="231" t="s">
        <v>532</v>
      </c>
      <c r="Z6" s="231" t="s">
        <v>532</v>
      </c>
      <c r="AA6" s="232" t="s">
        <v>532</v>
      </c>
      <c r="AB6" s="232" t="s">
        <v>532</v>
      </c>
      <c r="AC6" s="232" t="s">
        <v>532</v>
      </c>
      <c r="AD6" s="232" t="s">
        <v>532</v>
      </c>
      <c r="AE6" s="232" t="s">
        <v>532</v>
      </c>
      <c r="AF6" s="238" t="s">
        <v>532</v>
      </c>
      <c r="AG6" s="239"/>
    </row>
    <row r="7" spans="3:33" x14ac:dyDescent="0.25">
      <c r="C7" s="229">
        <v>3</v>
      </c>
      <c r="D7" s="230" t="s">
        <v>88</v>
      </c>
      <c r="E7" s="231" t="s">
        <v>532</v>
      </c>
      <c r="F7" s="232" t="s">
        <v>532</v>
      </c>
      <c r="G7" s="232" t="s">
        <v>532</v>
      </c>
      <c r="H7" s="232" t="s">
        <v>532</v>
      </c>
      <c r="I7" s="233" t="s">
        <v>532</v>
      </c>
      <c r="J7" s="232" t="s">
        <v>532</v>
      </c>
      <c r="K7" s="231" t="s">
        <v>532</v>
      </c>
      <c r="L7" s="231" t="s">
        <v>532</v>
      </c>
      <c r="M7" s="232" t="s">
        <v>532</v>
      </c>
      <c r="N7" s="232" t="s">
        <v>532</v>
      </c>
      <c r="O7" s="233" t="s">
        <v>532</v>
      </c>
      <c r="P7" s="232" t="s">
        <v>532</v>
      </c>
      <c r="Q7" s="232" t="s">
        <v>532</v>
      </c>
      <c r="R7" s="231" t="s">
        <v>532</v>
      </c>
      <c r="S7" s="231" t="s">
        <v>532</v>
      </c>
      <c r="T7" s="232" t="s">
        <v>532</v>
      </c>
      <c r="U7" s="233" t="s">
        <v>532</v>
      </c>
      <c r="V7" s="242">
        <v>2</v>
      </c>
      <c r="W7" s="232" t="s">
        <v>532</v>
      </c>
      <c r="X7" s="232" t="s">
        <v>532</v>
      </c>
      <c r="Y7" s="231" t="s">
        <v>532</v>
      </c>
      <c r="Z7" s="231" t="s">
        <v>532</v>
      </c>
      <c r="AA7" s="232" t="s">
        <v>532</v>
      </c>
      <c r="AB7" s="232" t="s">
        <v>532</v>
      </c>
      <c r="AC7" s="243" t="s">
        <v>532</v>
      </c>
      <c r="AD7" s="232" t="s">
        <v>532</v>
      </c>
      <c r="AE7" s="232" t="s">
        <v>532</v>
      </c>
      <c r="AF7" s="238" t="s">
        <v>532</v>
      </c>
      <c r="AG7" s="244"/>
    </row>
    <row r="8" spans="3:33" x14ac:dyDescent="0.25">
      <c r="C8" s="240">
        <v>4</v>
      </c>
      <c r="D8" s="245" t="s">
        <v>169</v>
      </c>
      <c r="E8" s="231" t="s">
        <v>532</v>
      </c>
      <c r="F8" s="232" t="s">
        <v>532</v>
      </c>
      <c r="G8" s="232" t="s">
        <v>532</v>
      </c>
      <c r="H8" s="232"/>
      <c r="I8" s="232" t="s">
        <v>532</v>
      </c>
      <c r="J8" s="232" t="s">
        <v>532</v>
      </c>
      <c r="K8" s="231" t="s">
        <v>532</v>
      </c>
      <c r="L8" s="231" t="s">
        <v>532</v>
      </c>
      <c r="M8" s="232" t="s">
        <v>532</v>
      </c>
      <c r="N8" s="243" t="s">
        <v>532</v>
      </c>
      <c r="O8" s="232" t="s">
        <v>532</v>
      </c>
      <c r="P8" s="232" t="s">
        <v>532</v>
      </c>
      <c r="Q8" s="232" t="s">
        <v>532</v>
      </c>
      <c r="R8" s="231" t="s">
        <v>532</v>
      </c>
      <c r="S8" s="231" t="s">
        <v>532</v>
      </c>
      <c r="T8" s="232" t="s">
        <v>532</v>
      </c>
      <c r="U8" s="232" t="s">
        <v>532</v>
      </c>
      <c r="V8" s="232" t="s">
        <v>532</v>
      </c>
      <c r="W8" s="232" t="s">
        <v>532</v>
      </c>
      <c r="X8" s="232" t="s">
        <v>532</v>
      </c>
      <c r="Y8" s="231" t="s">
        <v>532</v>
      </c>
      <c r="Z8" s="231" t="s">
        <v>532</v>
      </c>
      <c r="AA8" s="232" t="s">
        <v>532</v>
      </c>
      <c r="AB8" s="232" t="s">
        <v>532</v>
      </c>
      <c r="AC8" s="232" t="s">
        <v>532</v>
      </c>
      <c r="AD8" s="232" t="s">
        <v>532</v>
      </c>
      <c r="AE8" s="232" t="s">
        <v>532</v>
      </c>
      <c r="AF8" s="238" t="s">
        <v>532</v>
      </c>
      <c r="AG8" s="239"/>
    </row>
    <row r="9" spans="3:33" x14ac:dyDescent="0.25">
      <c r="C9" s="229">
        <v>5</v>
      </c>
      <c r="D9" s="241" t="s">
        <v>100</v>
      </c>
      <c r="E9" s="231" t="s">
        <v>532</v>
      </c>
      <c r="F9" s="232" t="s">
        <v>532</v>
      </c>
      <c r="G9" s="232" t="s">
        <v>532</v>
      </c>
      <c r="H9" s="232" t="s">
        <v>532</v>
      </c>
      <c r="I9" s="232" t="s">
        <v>532</v>
      </c>
      <c r="J9" s="232" t="s">
        <v>532</v>
      </c>
      <c r="K9" s="231" t="s">
        <v>532</v>
      </c>
      <c r="L9" s="231" t="s">
        <v>532</v>
      </c>
      <c r="M9" s="242">
        <v>2</v>
      </c>
      <c r="N9" s="232" t="s">
        <v>532</v>
      </c>
      <c r="O9" s="232" t="s">
        <v>532</v>
      </c>
      <c r="P9" s="232" t="s">
        <v>532</v>
      </c>
      <c r="Q9" s="232" t="s">
        <v>532</v>
      </c>
      <c r="R9" s="231" t="s">
        <v>532</v>
      </c>
      <c r="S9" s="231" t="s">
        <v>532</v>
      </c>
      <c r="T9" s="232" t="s">
        <v>532</v>
      </c>
      <c r="U9" s="236" t="s">
        <v>532</v>
      </c>
      <c r="V9" s="246">
        <v>2</v>
      </c>
      <c r="W9" s="233">
        <v>2</v>
      </c>
      <c r="X9" s="232" t="s">
        <v>532</v>
      </c>
      <c r="Y9" s="231" t="s">
        <v>532</v>
      </c>
      <c r="Z9" s="231" t="s">
        <v>532</v>
      </c>
      <c r="AA9" s="232" t="s">
        <v>532</v>
      </c>
      <c r="AB9" s="232" t="s">
        <v>532</v>
      </c>
      <c r="AC9" s="232" t="s">
        <v>532</v>
      </c>
      <c r="AD9" s="232" t="s">
        <v>532</v>
      </c>
      <c r="AE9" s="232" t="s">
        <v>532</v>
      </c>
      <c r="AF9" s="238" t="s">
        <v>532</v>
      </c>
      <c r="AG9" s="239"/>
    </row>
    <row r="10" spans="3:33" x14ac:dyDescent="0.25">
      <c r="C10" s="240">
        <v>6</v>
      </c>
      <c r="D10" s="230" t="s">
        <v>77</v>
      </c>
      <c r="E10" s="231" t="s">
        <v>532</v>
      </c>
      <c r="F10" s="232" t="s">
        <v>532</v>
      </c>
      <c r="G10" s="232" t="s">
        <v>532</v>
      </c>
      <c r="H10" s="232" t="s">
        <v>532</v>
      </c>
      <c r="I10" s="232" t="s">
        <v>532</v>
      </c>
      <c r="J10" s="232" t="s">
        <v>532</v>
      </c>
      <c r="K10" s="231" t="s">
        <v>532</v>
      </c>
      <c r="L10" s="231" t="s">
        <v>532</v>
      </c>
      <c r="M10" s="232" t="s">
        <v>532</v>
      </c>
      <c r="N10" s="232" t="s">
        <v>532</v>
      </c>
      <c r="O10" s="232" t="s">
        <v>532</v>
      </c>
      <c r="P10" s="232" t="s">
        <v>532</v>
      </c>
      <c r="Q10" s="232" t="s">
        <v>532</v>
      </c>
      <c r="R10" s="231" t="s">
        <v>532</v>
      </c>
      <c r="S10" s="231" t="s">
        <v>532</v>
      </c>
      <c r="T10" s="232" t="s">
        <v>532</v>
      </c>
      <c r="U10" s="232" t="s">
        <v>532</v>
      </c>
      <c r="V10" s="232" t="s">
        <v>532</v>
      </c>
      <c r="W10" s="232" t="s">
        <v>532</v>
      </c>
      <c r="X10" s="237" t="s">
        <v>532</v>
      </c>
      <c r="Y10" s="231" t="s">
        <v>532</v>
      </c>
      <c r="Z10" s="231" t="s">
        <v>532</v>
      </c>
      <c r="AA10" s="232" t="s">
        <v>532</v>
      </c>
      <c r="AB10" s="232" t="s">
        <v>532</v>
      </c>
      <c r="AC10" s="232" t="s">
        <v>532</v>
      </c>
      <c r="AD10" s="232" t="s">
        <v>532</v>
      </c>
      <c r="AE10" s="232" t="s">
        <v>532</v>
      </c>
      <c r="AF10" s="238" t="s">
        <v>532</v>
      </c>
      <c r="AG10" s="239"/>
    </row>
    <row r="11" spans="3:33" x14ac:dyDescent="0.25">
      <c r="C11" s="229">
        <v>7</v>
      </c>
      <c r="D11" s="241" t="s">
        <v>146</v>
      </c>
      <c r="E11" s="231" t="s">
        <v>532</v>
      </c>
      <c r="F11" s="232" t="s">
        <v>532</v>
      </c>
      <c r="G11" s="232" t="s">
        <v>532</v>
      </c>
      <c r="H11" s="232" t="s">
        <v>532</v>
      </c>
      <c r="I11" s="232" t="s">
        <v>532</v>
      </c>
      <c r="J11" s="232" t="s">
        <v>532</v>
      </c>
      <c r="K11" s="231" t="s">
        <v>532</v>
      </c>
      <c r="L11" s="231" t="s">
        <v>532</v>
      </c>
      <c r="M11" s="232" t="s">
        <v>532</v>
      </c>
      <c r="N11" s="233">
        <v>2</v>
      </c>
      <c r="O11" s="232" t="s">
        <v>532</v>
      </c>
      <c r="P11" s="232" t="s">
        <v>532</v>
      </c>
      <c r="Q11" s="232" t="s">
        <v>532</v>
      </c>
      <c r="R11" s="231" t="s">
        <v>532</v>
      </c>
      <c r="S11" s="231" t="s">
        <v>532</v>
      </c>
      <c r="T11" s="232" t="s">
        <v>532</v>
      </c>
      <c r="U11" s="243" t="s">
        <v>532</v>
      </c>
      <c r="V11" s="232" t="s">
        <v>532</v>
      </c>
      <c r="W11" s="232" t="s">
        <v>532</v>
      </c>
      <c r="X11" s="232" t="s">
        <v>532</v>
      </c>
      <c r="Y11" s="231" t="s">
        <v>532</v>
      </c>
      <c r="Z11" s="231" t="s">
        <v>532</v>
      </c>
      <c r="AA11" s="232" t="s">
        <v>532</v>
      </c>
      <c r="AB11" s="232" t="s">
        <v>532</v>
      </c>
      <c r="AC11" s="232" t="s">
        <v>532</v>
      </c>
      <c r="AD11" s="232" t="s">
        <v>532</v>
      </c>
      <c r="AE11" s="232" t="s">
        <v>532</v>
      </c>
      <c r="AF11" s="238" t="s">
        <v>532</v>
      </c>
      <c r="AG11" s="239"/>
    </row>
    <row r="12" spans="3:33" x14ac:dyDescent="0.25">
      <c r="C12" s="240">
        <v>8</v>
      </c>
      <c r="D12" s="230" t="s">
        <v>79</v>
      </c>
      <c r="E12" s="231" t="s">
        <v>532</v>
      </c>
      <c r="F12" s="232" t="s">
        <v>532</v>
      </c>
      <c r="G12" s="232" t="s">
        <v>532</v>
      </c>
      <c r="H12" s="232" t="s">
        <v>532</v>
      </c>
      <c r="I12" s="232" t="s">
        <v>532</v>
      </c>
      <c r="J12" s="232" t="s">
        <v>532</v>
      </c>
      <c r="K12" s="231" t="s">
        <v>532</v>
      </c>
      <c r="L12" s="231" t="s">
        <v>532</v>
      </c>
      <c r="M12" s="232" t="s">
        <v>532</v>
      </c>
      <c r="N12" s="232" t="s">
        <v>532</v>
      </c>
      <c r="O12" s="232" t="s">
        <v>532</v>
      </c>
      <c r="P12" s="232" t="s">
        <v>532</v>
      </c>
      <c r="Q12" s="232" t="s">
        <v>532</v>
      </c>
      <c r="R12" s="231" t="s">
        <v>532</v>
      </c>
      <c r="S12" s="231" t="s">
        <v>532</v>
      </c>
      <c r="T12" s="232" t="s">
        <v>532</v>
      </c>
      <c r="U12" s="232" t="s">
        <v>532</v>
      </c>
      <c r="V12" s="232" t="s">
        <v>532</v>
      </c>
      <c r="W12" s="232" t="s">
        <v>532</v>
      </c>
      <c r="X12" s="232" t="s">
        <v>532</v>
      </c>
      <c r="Y12" s="231" t="s">
        <v>532</v>
      </c>
      <c r="Z12" s="231" t="s">
        <v>532</v>
      </c>
      <c r="AA12" s="232" t="s">
        <v>532</v>
      </c>
      <c r="AB12" s="232" t="s">
        <v>532</v>
      </c>
      <c r="AC12" s="232" t="s">
        <v>532</v>
      </c>
      <c r="AD12" s="232" t="s">
        <v>532</v>
      </c>
      <c r="AE12" s="232" t="s">
        <v>532</v>
      </c>
      <c r="AF12" s="238" t="s">
        <v>532</v>
      </c>
      <c r="AG12" s="222" t="s">
        <v>535</v>
      </c>
    </row>
    <row r="13" spans="3:33" x14ac:dyDescent="0.25">
      <c r="C13" s="229">
        <v>9</v>
      </c>
      <c r="D13" s="247" t="s">
        <v>122</v>
      </c>
      <c r="E13" s="231" t="s">
        <v>532</v>
      </c>
      <c r="F13" s="232" t="s">
        <v>532</v>
      </c>
      <c r="G13" s="232" t="s">
        <v>532</v>
      </c>
      <c r="H13" s="232" t="s">
        <v>532</v>
      </c>
      <c r="I13" s="232" t="s">
        <v>532</v>
      </c>
      <c r="J13" s="232" t="s">
        <v>532</v>
      </c>
      <c r="K13" s="248" t="s">
        <v>532</v>
      </c>
      <c r="L13" s="231" t="s">
        <v>532</v>
      </c>
      <c r="M13" s="232" t="s">
        <v>532</v>
      </c>
      <c r="N13" s="232" t="s">
        <v>532</v>
      </c>
      <c r="O13" s="232" t="s">
        <v>532</v>
      </c>
      <c r="P13" s="232" t="s">
        <v>532</v>
      </c>
      <c r="Q13" s="232" t="s">
        <v>532</v>
      </c>
      <c r="R13" s="231" t="s">
        <v>532</v>
      </c>
      <c r="S13" s="231" t="s">
        <v>532</v>
      </c>
      <c r="T13" s="232" t="s">
        <v>532</v>
      </c>
      <c r="U13" s="232" t="s">
        <v>532</v>
      </c>
      <c r="V13" s="232" t="s">
        <v>532</v>
      </c>
      <c r="W13" s="232" t="s">
        <v>532</v>
      </c>
      <c r="X13" s="232" t="s">
        <v>532</v>
      </c>
      <c r="Y13" s="231" t="s">
        <v>532</v>
      </c>
      <c r="Z13" s="231" t="s">
        <v>532</v>
      </c>
      <c r="AA13" s="232" t="s">
        <v>532</v>
      </c>
      <c r="AB13" s="232" t="s">
        <v>532</v>
      </c>
      <c r="AC13" s="232" t="s">
        <v>532</v>
      </c>
      <c r="AD13" s="232" t="s">
        <v>532</v>
      </c>
      <c r="AE13" s="232" t="s">
        <v>532</v>
      </c>
      <c r="AF13" s="238" t="s">
        <v>532</v>
      </c>
      <c r="AG13" s="239"/>
    </row>
    <row r="14" spans="3:33" x14ac:dyDescent="0.25">
      <c r="C14" s="240">
        <v>10</v>
      </c>
      <c r="D14" s="241" t="s">
        <v>110</v>
      </c>
      <c r="E14" s="231" t="s">
        <v>532</v>
      </c>
      <c r="F14" s="232" t="s">
        <v>532</v>
      </c>
      <c r="G14" s="232" t="s">
        <v>532</v>
      </c>
      <c r="H14" s="232" t="s">
        <v>532</v>
      </c>
      <c r="I14" s="232" t="s">
        <v>532</v>
      </c>
      <c r="J14" s="232" t="s">
        <v>532</v>
      </c>
      <c r="K14" s="231" t="s">
        <v>532</v>
      </c>
      <c r="L14" s="231" t="s">
        <v>532</v>
      </c>
      <c r="M14" s="232" t="s">
        <v>532</v>
      </c>
      <c r="N14" s="232" t="s">
        <v>532</v>
      </c>
      <c r="O14" s="232" t="s">
        <v>532</v>
      </c>
      <c r="P14" s="232" t="s">
        <v>532</v>
      </c>
      <c r="Q14" s="232" t="s">
        <v>532</v>
      </c>
      <c r="R14" s="231" t="s">
        <v>532</v>
      </c>
      <c r="S14" s="231" t="s">
        <v>532</v>
      </c>
      <c r="T14" s="232" t="s">
        <v>532</v>
      </c>
      <c r="U14" s="232" t="s">
        <v>532</v>
      </c>
      <c r="V14" s="232" t="s">
        <v>532</v>
      </c>
      <c r="W14" s="232" t="s">
        <v>532</v>
      </c>
      <c r="X14" s="232" t="s">
        <v>532</v>
      </c>
      <c r="Y14" s="231" t="s">
        <v>532</v>
      </c>
      <c r="Z14" s="231" t="s">
        <v>532</v>
      </c>
      <c r="AA14" s="232" t="s">
        <v>532</v>
      </c>
      <c r="AB14" s="232" t="s">
        <v>532</v>
      </c>
      <c r="AC14" s="232" t="s">
        <v>532</v>
      </c>
      <c r="AD14" s="232" t="s">
        <v>532</v>
      </c>
      <c r="AE14" s="232" t="s">
        <v>532</v>
      </c>
      <c r="AF14" s="238" t="s">
        <v>532</v>
      </c>
      <c r="AG14" s="239"/>
    </row>
    <row r="15" spans="3:33" x14ac:dyDescent="0.25">
      <c r="C15" s="229">
        <v>11</v>
      </c>
      <c r="D15" s="230" t="s">
        <v>60</v>
      </c>
      <c r="E15" s="231" t="s">
        <v>532</v>
      </c>
      <c r="F15" s="232" t="s">
        <v>532</v>
      </c>
      <c r="G15" s="232" t="s">
        <v>532</v>
      </c>
      <c r="H15" s="232" t="s">
        <v>532</v>
      </c>
      <c r="I15" s="232" t="s">
        <v>532</v>
      </c>
      <c r="J15" s="232" t="s">
        <v>532</v>
      </c>
      <c r="K15" s="231" t="s">
        <v>532</v>
      </c>
      <c r="L15" s="231" t="s">
        <v>532</v>
      </c>
      <c r="M15" s="232" t="s">
        <v>532</v>
      </c>
      <c r="N15" s="232" t="s">
        <v>532</v>
      </c>
      <c r="O15" s="232" t="s">
        <v>532</v>
      </c>
      <c r="P15" s="232" t="s">
        <v>532</v>
      </c>
      <c r="Q15" s="232" t="s">
        <v>532</v>
      </c>
      <c r="R15" s="231" t="s">
        <v>532</v>
      </c>
      <c r="S15" s="231" t="s">
        <v>532</v>
      </c>
      <c r="T15" s="232" t="s">
        <v>532</v>
      </c>
      <c r="U15" s="232" t="s">
        <v>532</v>
      </c>
      <c r="V15" s="232" t="s">
        <v>532</v>
      </c>
      <c r="W15" s="243" t="s">
        <v>532</v>
      </c>
      <c r="X15" s="232" t="s">
        <v>532</v>
      </c>
      <c r="Y15" s="231" t="s">
        <v>532</v>
      </c>
      <c r="Z15" s="231" t="s">
        <v>532</v>
      </c>
      <c r="AA15" s="232" t="s">
        <v>532</v>
      </c>
      <c r="AB15" s="232" t="s">
        <v>532</v>
      </c>
      <c r="AC15" s="232" t="s">
        <v>532</v>
      </c>
      <c r="AD15" s="232" t="s">
        <v>532</v>
      </c>
      <c r="AE15" s="232" t="s">
        <v>532</v>
      </c>
      <c r="AF15" s="238" t="s">
        <v>532</v>
      </c>
      <c r="AG15" s="239"/>
    </row>
    <row r="16" spans="3:33" x14ac:dyDescent="0.25">
      <c r="C16" s="240">
        <v>12</v>
      </c>
      <c r="D16" s="245" t="s">
        <v>47</v>
      </c>
      <c r="E16" s="231" t="s">
        <v>532</v>
      </c>
      <c r="F16" s="232" t="s">
        <v>532</v>
      </c>
      <c r="G16" s="232" t="s">
        <v>532</v>
      </c>
      <c r="H16" s="232" t="s">
        <v>532</v>
      </c>
      <c r="I16" s="232" t="s">
        <v>532</v>
      </c>
      <c r="J16" s="232" t="s">
        <v>532</v>
      </c>
      <c r="K16" s="231" t="s">
        <v>532</v>
      </c>
      <c r="L16" s="231" t="s">
        <v>532</v>
      </c>
      <c r="M16" s="232" t="s">
        <v>532</v>
      </c>
      <c r="N16" s="232" t="s">
        <v>532</v>
      </c>
      <c r="O16" s="232" t="s">
        <v>532</v>
      </c>
      <c r="P16" s="232" t="s">
        <v>532</v>
      </c>
      <c r="Q16" s="232" t="s">
        <v>532</v>
      </c>
      <c r="R16" s="231" t="s">
        <v>532</v>
      </c>
      <c r="S16" s="231" t="s">
        <v>532</v>
      </c>
      <c r="T16" s="232" t="s">
        <v>532</v>
      </c>
      <c r="U16" s="249" t="s">
        <v>532</v>
      </c>
      <c r="V16" s="232" t="s">
        <v>532</v>
      </c>
      <c r="W16" s="232" t="s">
        <v>532</v>
      </c>
      <c r="X16" s="232" t="s">
        <v>532</v>
      </c>
      <c r="Y16" s="231" t="s">
        <v>532</v>
      </c>
      <c r="Z16" s="231" t="s">
        <v>532</v>
      </c>
      <c r="AA16" s="232" t="s">
        <v>532</v>
      </c>
      <c r="AB16" s="232" t="s">
        <v>532</v>
      </c>
      <c r="AC16" s="232" t="s">
        <v>532</v>
      </c>
      <c r="AD16" s="232" t="s">
        <v>532</v>
      </c>
      <c r="AE16" s="232" t="s">
        <v>532</v>
      </c>
      <c r="AF16" s="238" t="s">
        <v>532</v>
      </c>
      <c r="AG16" s="239"/>
    </row>
    <row r="17" spans="3:33" x14ac:dyDescent="0.25">
      <c r="C17" s="229">
        <v>13</v>
      </c>
      <c r="D17" s="241" t="s">
        <v>45</v>
      </c>
      <c r="E17" s="231" t="s">
        <v>532</v>
      </c>
      <c r="F17" s="232" t="s">
        <v>532</v>
      </c>
      <c r="G17" s="232" t="s">
        <v>532</v>
      </c>
      <c r="H17" s="232" t="s">
        <v>532</v>
      </c>
      <c r="I17" s="232" t="s">
        <v>532</v>
      </c>
      <c r="J17" s="232" t="s">
        <v>532</v>
      </c>
      <c r="K17" s="231" t="s">
        <v>532</v>
      </c>
      <c r="L17" s="231" t="s">
        <v>532</v>
      </c>
      <c r="M17" s="232" t="s">
        <v>532</v>
      </c>
      <c r="N17" s="233">
        <v>2</v>
      </c>
      <c r="O17" s="232" t="s">
        <v>532</v>
      </c>
      <c r="P17" s="232" t="s">
        <v>532</v>
      </c>
      <c r="Q17" s="237" t="s">
        <v>532</v>
      </c>
      <c r="R17" s="231" t="s">
        <v>532</v>
      </c>
      <c r="S17" s="231" t="s">
        <v>532</v>
      </c>
      <c r="T17" s="234" t="s">
        <v>532</v>
      </c>
      <c r="U17" s="250" t="s">
        <v>532</v>
      </c>
      <c r="V17" s="232" t="s">
        <v>532</v>
      </c>
      <c r="W17" s="232" t="s">
        <v>532</v>
      </c>
      <c r="X17" s="232" t="s">
        <v>532</v>
      </c>
      <c r="Y17" s="231" t="s">
        <v>532</v>
      </c>
      <c r="Z17" s="231" t="s">
        <v>532</v>
      </c>
      <c r="AA17" s="232" t="s">
        <v>532</v>
      </c>
      <c r="AB17" s="232" t="s">
        <v>532</v>
      </c>
      <c r="AC17" s="232" t="s">
        <v>532</v>
      </c>
      <c r="AD17" s="232" t="s">
        <v>532</v>
      </c>
      <c r="AE17" s="232" t="s">
        <v>532</v>
      </c>
      <c r="AF17" s="238" t="s">
        <v>532</v>
      </c>
      <c r="AG17" s="239"/>
    </row>
    <row r="18" spans="3:33" x14ac:dyDescent="0.25">
      <c r="C18" s="240">
        <v>14</v>
      </c>
      <c r="D18" s="230" t="s">
        <v>52</v>
      </c>
      <c r="E18" s="231" t="s">
        <v>532</v>
      </c>
      <c r="F18" s="232" t="s">
        <v>532</v>
      </c>
      <c r="G18" s="232" t="s">
        <v>532</v>
      </c>
      <c r="H18" s="232" t="s">
        <v>532</v>
      </c>
      <c r="I18" s="232" t="s">
        <v>532</v>
      </c>
      <c r="J18" s="232" t="s">
        <v>532</v>
      </c>
      <c r="K18" s="231" t="s">
        <v>532</v>
      </c>
      <c r="L18" s="231" t="s">
        <v>532</v>
      </c>
      <c r="M18" s="232" t="s">
        <v>532</v>
      </c>
      <c r="N18" s="232" t="s">
        <v>532</v>
      </c>
      <c r="O18" s="232" t="s">
        <v>532</v>
      </c>
      <c r="P18" s="232" t="s">
        <v>532</v>
      </c>
      <c r="Q18" s="232" t="s">
        <v>532</v>
      </c>
      <c r="R18" s="231" t="s">
        <v>532</v>
      </c>
      <c r="S18" s="231" t="s">
        <v>532</v>
      </c>
      <c r="T18" s="232" t="s">
        <v>532</v>
      </c>
      <c r="U18" s="232" t="s">
        <v>532</v>
      </c>
      <c r="V18" s="232" t="s">
        <v>532</v>
      </c>
      <c r="W18" s="232" t="s">
        <v>532</v>
      </c>
      <c r="X18" s="232" t="s">
        <v>532</v>
      </c>
      <c r="Y18" s="231" t="s">
        <v>532</v>
      </c>
      <c r="Z18" s="231" t="s">
        <v>532</v>
      </c>
      <c r="AA18" s="232" t="s">
        <v>532</v>
      </c>
      <c r="AB18" s="232" t="s">
        <v>532</v>
      </c>
      <c r="AC18" s="232" t="s">
        <v>532</v>
      </c>
      <c r="AD18" s="232" t="s">
        <v>532</v>
      </c>
      <c r="AE18" s="232" t="s">
        <v>532</v>
      </c>
      <c r="AF18" s="238" t="s">
        <v>532</v>
      </c>
      <c r="AG18" s="239"/>
    </row>
    <row r="19" spans="3:33" x14ac:dyDescent="0.25">
      <c r="C19" s="229">
        <v>15</v>
      </c>
      <c r="D19" s="245" t="s">
        <v>536</v>
      </c>
      <c r="E19" s="231" t="s">
        <v>532</v>
      </c>
      <c r="F19" s="232" t="s">
        <v>532</v>
      </c>
      <c r="G19" s="232" t="s">
        <v>532</v>
      </c>
      <c r="H19" s="232" t="s">
        <v>532</v>
      </c>
      <c r="I19" s="232" t="s">
        <v>532</v>
      </c>
      <c r="J19" s="232" t="s">
        <v>532</v>
      </c>
      <c r="K19" s="231" t="s">
        <v>532</v>
      </c>
      <c r="L19" s="231" t="s">
        <v>532</v>
      </c>
      <c r="M19" s="242">
        <v>2</v>
      </c>
      <c r="N19" s="232" t="s">
        <v>532</v>
      </c>
      <c r="O19" s="232" t="s">
        <v>532</v>
      </c>
      <c r="P19" s="232" t="s">
        <v>532</v>
      </c>
      <c r="Q19" s="232" t="s">
        <v>532</v>
      </c>
      <c r="R19" s="231" t="s">
        <v>532</v>
      </c>
      <c r="S19" s="231" t="s">
        <v>532</v>
      </c>
      <c r="T19" s="232" t="s">
        <v>532</v>
      </c>
      <c r="U19" s="232" t="s">
        <v>532</v>
      </c>
      <c r="V19" s="232" t="s">
        <v>532</v>
      </c>
      <c r="W19" s="232" t="s">
        <v>532</v>
      </c>
      <c r="X19" s="232" t="s">
        <v>532</v>
      </c>
      <c r="Y19" s="231" t="s">
        <v>532</v>
      </c>
      <c r="Z19" s="231" t="s">
        <v>532</v>
      </c>
      <c r="AA19" s="232" t="s">
        <v>532</v>
      </c>
      <c r="AB19" s="232" t="s">
        <v>532</v>
      </c>
      <c r="AC19" s="232" t="s">
        <v>532</v>
      </c>
      <c r="AD19" s="232" t="s">
        <v>532</v>
      </c>
      <c r="AE19" s="232" t="s">
        <v>532</v>
      </c>
      <c r="AF19" s="238" t="s">
        <v>532</v>
      </c>
      <c r="AG19" s="239"/>
    </row>
    <row r="20" spans="3:33" x14ac:dyDescent="0.25">
      <c r="C20" s="240">
        <v>16</v>
      </c>
      <c r="D20" s="241" t="s">
        <v>85</v>
      </c>
      <c r="E20" s="231" t="s">
        <v>532</v>
      </c>
      <c r="F20" s="232" t="s">
        <v>532</v>
      </c>
      <c r="G20" s="232" t="s">
        <v>532</v>
      </c>
      <c r="H20" s="232" t="s">
        <v>532</v>
      </c>
      <c r="I20" s="232" t="s">
        <v>532</v>
      </c>
      <c r="J20" s="232" t="s">
        <v>532</v>
      </c>
      <c r="K20" s="231" t="s">
        <v>532</v>
      </c>
      <c r="L20" s="231" t="s">
        <v>532</v>
      </c>
      <c r="M20" s="232" t="s">
        <v>532</v>
      </c>
      <c r="N20" s="232" t="s">
        <v>532</v>
      </c>
      <c r="O20" s="232" t="s">
        <v>532</v>
      </c>
      <c r="P20" s="232" t="s">
        <v>532</v>
      </c>
      <c r="Q20" s="232" t="s">
        <v>532</v>
      </c>
      <c r="R20" s="231" t="s">
        <v>532</v>
      </c>
      <c r="S20" s="231" t="s">
        <v>532</v>
      </c>
      <c r="T20" s="232" t="s">
        <v>532</v>
      </c>
      <c r="U20" s="232" t="s">
        <v>532</v>
      </c>
      <c r="V20" s="232" t="s">
        <v>532</v>
      </c>
      <c r="W20" s="232" t="s">
        <v>532</v>
      </c>
      <c r="X20" s="232" t="s">
        <v>532</v>
      </c>
      <c r="Y20" s="231" t="s">
        <v>532</v>
      </c>
      <c r="Z20" s="231" t="s">
        <v>532</v>
      </c>
      <c r="AA20" s="232" t="s">
        <v>532</v>
      </c>
      <c r="AB20" s="232" t="s">
        <v>532</v>
      </c>
      <c r="AC20" s="232" t="s">
        <v>532</v>
      </c>
      <c r="AD20" s="232" t="s">
        <v>532</v>
      </c>
      <c r="AE20" s="232" t="s">
        <v>532</v>
      </c>
      <c r="AF20" s="238" t="s">
        <v>532</v>
      </c>
      <c r="AG20" s="239"/>
    </row>
    <row r="21" spans="3:33" x14ac:dyDescent="0.25">
      <c r="C21" s="229">
        <v>17</v>
      </c>
      <c r="D21" s="251" t="s">
        <v>206</v>
      </c>
      <c r="E21" s="231" t="s">
        <v>532</v>
      </c>
      <c r="F21" s="232" t="s">
        <v>532</v>
      </c>
      <c r="G21" s="232" t="s">
        <v>532</v>
      </c>
      <c r="H21" s="232" t="s">
        <v>532</v>
      </c>
      <c r="I21" s="252" t="s">
        <v>532</v>
      </c>
      <c r="J21" s="233" t="s">
        <v>532</v>
      </c>
      <c r="K21" s="231" t="s">
        <v>532</v>
      </c>
      <c r="L21" s="231" t="s">
        <v>532</v>
      </c>
      <c r="M21" s="232" t="s">
        <v>532</v>
      </c>
      <c r="N21" s="232" t="s">
        <v>532</v>
      </c>
      <c r="O21" s="232" t="s">
        <v>532</v>
      </c>
      <c r="P21" s="233" t="s">
        <v>532</v>
      </c>
      <c r="Q21" s="232" t="s">
        <v>532</v>
      </c>
      <c r="R21" s="231" t="s">
        <v>532</v>
      </c>
      <c r="S21" s="231" t="s">
        <v>532</v>
      </c>
      <c r="T21" s="243" t="s">
        <v>532</v>
      </c>
      <c r="U21" s="232" t="s">
        <v>532</v>
      </c>
      <c r="V21" s="232" t="s">
        <v>532</v>
      </c>
      <c r="W21" s="232" t="s">
        <v>532</v>
      </c>
      <c r="X21" s="233" t="s">
        <v>532</v>
      </c>
      <c r="Y21" s="231" t="s">
        <v>532</v>
      </c>
      <c r="Z21" s="231" t="s">
        <v>532</v>
      </c>
      <c r="AA21" s="232" t="s">
        <v>532</v>
      </c>
      <c r="AB21" s="232" t="s">
        <v>532</v>
      </c>
      <c r="AC21" s="232" t="s">
        <v>532</v>
      </c>
      <c r="AD21" s="232" t="s">
        <v>532</v>
      </c>
      <c r="AE21" s="232" t="s">
        <v>532</v>
      </c>
      <c r="AF21" s="238" t="s">
        <v>532</v>
      </c>
      <c r="AG21" s="239"/>
    </row>
    <row r="22" spans="3:33" x14ac:dyDescent="0.25">
      <c r="C22" s="240">
        <v>18</v>
      </c>
      <c r="D22" s="241" t="s">
        <v>211</v>
      </c>
      <c r="E22" s="231" t="s">
        <v>532</v>
      </c>
      <c r="F22" s="232" t="s">
        <v>532</v>
      </c>
      <c r="G22" s="232" t="s">
        <v>532</v>
      </c>
      <c r="H22" s="232" t="s">
        <v>532</v>
      </c>
      <c r="I22" s="232" t="s">
        <v>532</v>
      </c>
      <c r="J22" s="232" t="s">
        <v>532</v>
      </c>
      <c r="K22" s="231" t="s">
        <v>532</v>
      </c>
      <c r="L22" s="231" t="s">
        <v>532</v>
      </c>
      <c r="M22" s="232" t="s">
        <v>532</v>
      </c>
      <c r="N22" s="232" t="s">
        <v>532</v>
      </c>
      <c r="O22" s="243" t="s">
        <v>532</v>
      </c>
      <c r="P22" s="232" t="s">
        <v>532</v>
      </c>
      <c r="Q22" s="232" t="s">
        <v>532</v>
      </c>
      <c r="R22" s="231" t="s">
        <v>532</v>
      </c>
      <c r="S22" s="231" t="s">
        <v>532</v>
      </c>
      <c r="T22" s="232" t="s">
        <v>532</v>
      </c>
      <c r="U22" s="232" t="s">
        <v>532</v>
      </c>
      <c r="V22" s="233" t="s">
        <v>532</v>
      </c>
      <c r="W22" s="232" t="s">
        <v>532</v>
      </c>
      <c r="X22" s="243" t="s">
        <v>532</v>
      </c>
      <c r="Y22" s="231" t="s">
        <v>532</v>
      </c>
      <c r="Z22" s="231" t="s">
        <v>532</v>
      </c>
      <c r="AA22" s="232" t="s">
        <v>532</v>
      </c>
      <c r="AB22" s="232" t="s">
        <v>532</v>
      </c>
      <c r="AC22" s="232" t="s">
        <v>532</v>
      </c>
      <c r="AD22" s="232" t="s">
        <v>532</v>
      </c>
      <c r="AE22" s="232" t="s">
        <v>532</v>
      </c>
      <c r="AF22" s="238" t="s">
        <v>532</v>
      </c>
      <c r="AG22" s="239"/>
    </row>
    <row r="23" spans="3:33" ht="30" x14ac:dyDescent="0.25">
      <c r="C23" s="229">
        <v>19</v>
      </c>
      <c r="D23" s="230" t="s">
        <v>537</v>
      </c>
      <c r="E23" s="231" t="s">
        <v>532</v>
      </c>
      <c r="F23" s="232" t="s">
        <v>532</v>
      </c>
      <c r="G23" s="232" t="s">
        <v>532</v>
      </c>
      <c r="H23" s="232" t="s">
        <v>532</v>
      </c>
      <c r="I23" s="232" t="s">
        <v>532</v>
      </c>
      <c r="J23" s="232" t="s">
        <v>532</v>
      </c>
      <c r="K23" s="231" t="s">
        <v>532</v>
      </c>
      <c r="L23" s="231" t="s">
        <v>532</v>
      </c>
      <c r="M23" s="233" t="s">
        <v>532</v>
      </c>
      <c r="N23" s="232" t="s">
        <v>532</v>
      </c>
      <c r="O23" s="232" t="s">
        <v>532</v>
      </c>
      <c r="P23" s="232" t="s">
        <v>532</v>
      </c>
      <c r="Q23" s="232" t="s">
        <v>532</v>
      </c>
      <c r="R23" s="231" t="s">
        <v>532</v>
      </c>
      <c r="S23" s="231" t="s">
        <v>532</v>
      </c>
      <c r="T23" s="233" t="s">
        <v>532</v>
      </c>
      <c r="U23" s="232" t="s">
        <v>532</v>
      </c>
      <c r="V23" s="232" t="s">
        <v>532</v>
      </c>
      <c r="W23" s="232" t="s">
        <v>532</v>
      </c>
      <c r="X23" s="232" t="s">
        <v>532</v>
      </c>
      <c r="Y23" s="231" t="s">
        <v>532</v>
      </c>
      <c r="Z23" s="231" t="s">
        <v>532</v>
      </c>
      <c r="AA23" s="232" t="s">
        <v>532</v>
      </c>
      <c r="AB23" s="233" t="s">
        <v>532</v>
      </c>
      <c r="AC23" s="232" t="s">
        <v>532</v>
      </c>
      <c r="AD23" s="232" t="s">
        <v>532</v>
      </c>
      <c r="AE23" s="232" t="s">
        <v>532</v>
      </c>
      <c r="AF23" s="238" t="s">
        <v>532</v>
      </c>
      <c r="AG23" s="244"/>
    </row>
    <row r="24" spans="3:33" x14ac:dyDescent="0.25">
      <c r="C24" s="240">
        <v>20</v>
      </c>
      <c r="D24" s="241" t="s">
        <v>280</v>
      </c>
      <c r="E24" s="231" t="s">
        <v>532</v>
      </c>
      <c r="F24" s="232" t="s">
        <v>532</v>
      </c>
      <c r="G24" s="232" t="s">
        <v>532</v>
      </c>
      <c r="H24" s="232" t="s">
        <v>532</v>
      </c>
      <c r="I24" s="232" t="s">
        <v>532</v>
      </c>
      <c r="J24" s="232" t="s">
        <v>532</v>
      </c>
      <c r="K24" s="231" t="s">
        <v>532</v>
      </c>
      <c r="L24" s="231" t="s">
        <v>532</v>
      </c>
      <c r="M24" s="232" t="s">
        <v>532</v>
      </c>
      <c r="N24" s="232" t="s">
        <v>532</v>
      </c>
      <c r="O24" s="232" t="s">
        <v>532</v>
      </c>
      <c r="P24" s="232" t="s">
        <v>532</v>
      </c>
      <c r="Q24" s="232" t="s">
        <v>532</v>
      </c>
      <c r="R24" s="231" t="s">
        <v>532</v>
      </c>
      <c r="S24" s="231" t="s">
        <v>532</v>
      </c>
      <c r="T24" s="232" t="s">
        <v>532</v>
      </c>
      <c r="U24" s="232" t="s">
        <v>532</v>
      </c>
      <c r="V24" s="232" t="s">
        <v>532</v>
      </c>
      <c r="W24" s="232" t="s">
        <v>532</v>
      </c>
      <c r="X24" s="232" t="s">
        <v>532</v>
      </c>
      <c r="Y24" s="231" t="s">
        <v>532</v>
      </c>
      <c r="Z24" s="231" t="s">
        <v>532</v>
      </c>
      <c r="AA24" s="232" t="s">
        <v>532</v>
      </c>
      <c r="AB24" s="232" t="s">
        <v>532</v>
      </c>
      <c r="AC24" s="232" t="s">
        <v>532</v>
      </c>
      <c r="AD24" s="232" t="s">
        <v>532</v>
      </c>
      <c r="AE24" s="232" t="s">
        <v>532</v>
      </c>
      <c r="AF24" s="238" t="s">
        <v>532</v>
      </c>
      <c r="AG24" s="222" t="s">
        <v>535</v>
      </c>
    </row>
    <row r="25" spans="3:33" x14ac:dyDescent="0.25">
      <c r="C25" s="229">
        <v>21</v>
      </c>
      <c r="D25" s="230" t="s">
        <v>477</v>
      </c>
      <c r="E25" s="231" t="s">
        <v>532</v>
      </c>
      <c r="F25" s="232" t="s">
        <v>532</v>
      </c>
      <c r="G25" s="232" t="s">
        <v>532</v>
      </c>
      <c r="H25" s="232" t="s">
        <v>532</v>
      </c>
      <c r="I25" s="232" t="s">
        <v>532</v>
      </c>
      <c r="J25" s="232" t="s">
        <v>532</v>
      </c>
      <c r="K25" s="231" t="s">
        <v>532</v>
      </c>
      <c r="L25" s="231" t="s">
        <v>532</v>
      </c>
      <c r="M25" s="232" t="s">
        <v>532</v>
      </c>
      <c r="N25" s="232" t="s">
        <v>532</v>
      </c>
      <c r="O25" s="232" t="s">
        <v>532</v>
      </c>
      <c r="P25" s="232" t="s">
        <v>532</v>
      </c>
      <c r="Q25" s="232" t="s">
        <v>532</v>
      </c>
      <c r="R25" s="231" t="s">
        <v>532</v>
      </c>
      <c r="S25" s="231" t="s">
        <v>532</v>
      </c>
      <c r="T25" s="232" t="s">
        <v>532</v>
      </c>
      <c r="U25" s="232" t="s">
        <v>532</v>
      </c>
      <c r="V25" s="232" t="s">
        <v>532</v>
      </c>
      <c r="W25" s="232" t="s">
        <v>532</v>
      </c>
      <c r="X25" s="232" t="s">
        <v>532</v>
      </c>
      <c r="Y25" s="231" t="s">
        <v>532</v>
      </c>
      <c r="Z25" s="231" t="s">
        <v>532</v>
      </c>
      <c r="AA25" s="232" t="s">
        <v>532</v>
      </c>
      <c r="AB25" s="232" t="s">
        <v>532</v>
      </c>
      <c r="AC25" s="232" t="s">
        <v>532</v>
      </c>
      <c r="AD25" s="232" t="s">
        <v>532</v>
      </c>
      <c r="AE25" s="232" t="s">
        <v>532</v>
      </c>
      <c r="AF25" s="238" t="s">
        <v>532</v>
      </c>
      <c r="AG25" s="239"/>
    </row>
    <row r="26" spans="3:33" x14ac:dyDescent="0.25">
      <c r="C26" s="240">
        <v>22</v>
      </c>
      <c r="D26" s="241" t="s">
        <v>496</v>
      </c>
      <c r="E26" s="231" t="s">
        <v>532</v>
      </c>
      <c r="F26" s="232" t="s">
        <v>532</v>
      </c>
      <c r="G26" s="232" t="s">
        <v>532</v>
      </c>
      <c r="H26" s="232" t="s">
        <v>532</v>
      </c>
      <c r="I26" s="232" t="s">
        <v>532</v>
      </c>
      <c r="J26" s="232" t="s">
        <v>532</v>
      </c>
      <c r="K26" s="231" t="s">
        <v>532</v>
      </c>
      <c r="L26" s="231" t="s">
        <v>532</v>
      </c>
      <c r="M26" s="232" t="s">
        <v>532</v>
      </c>
      <c r="N26" s="232" t="s">
        <v>532</v>
      </c>
      <c r="O26" s="232" t="s">
        <v>532</v>
      </c>
      <c r="P26" s="232" t="s">
        <v>532</v>
      </c>
      <c r="Q26" s="232" t="s">
        <v>532</v>
      </c>
      <c r="R26" s="231" t="s">
        <v>532</v>
      </c>
      <c r="S26" s="231" t="s">
        <v>532</v>
      </c>
      <c r="T26" s="232" t="s">
        <v>532</v>
      </c>
      <c r="U26" s="232" t="s">
        <v>532</v>
      </c>
      <c r="V26" s="232" t="s">
        <v>532</v>
      </c>
      <c r="W26" s="232" t="s">
        <v>532</v>
      </c>
      <c r="X26" s="232" t="s">
        <v>532</v>
      </c>
      <c r="Y26" s="231" t="s">
        <v>532</v>
      </c>
      <c r="Z26" s="231" t="s">
        <v>532</v>
      </c>
      <c r="AA26" s="232" t="s">
        <v>532</v>
      </c>
      <c r="AB26" s="232" t="s">
        <v>532</v>
      </c>
      <c r="AC26" s="232" t="s">
        <v>532</v>
      </c>
      <c r="AD26" s="232" t="s">
        <v>532</v>
      </c>
      <c r="AE26" s="232" t="s">
        <v>532</v>
      </c>
      <c r="AF26" s="238" t="s">
        <v>532</v>
      </c>
      <c r="AG26" s="239"/>
    </row>
    <row r="27" spans="3:33" ht="30" x14ac:dyDescent="0.25">
      <c r="C27" s="229">
        <v>23</v>
      </c>
      <c r="D27" s="230" t="s">
        <v>507</v>
      </c>
      <c r="E27" s="231" t="s">
        <v>532</v>
      </c>
      <c r="F27" s="232" t="s">
        <v>532</v>
      </c>
      <c r="G27" s="232" t="s">
        <v>532</v>
      </c>
      <c r="H27" s="232" t="s">
        <v>532</v>
      </c>
      <c r="I27" s="232" t="s">
        <v>532</v>
      </c>
      <c r="J27" s="232" t="s">
        <v>532</v>
      </c>
      <c r="K27" s="231" t="s">
        <v>532</v>
      </c>
      <c r="L27" s="231" t="s">
        <v>532</v>
      </c>
      <c r="M27" s="232" t="s">
        <v>532</v>
      </c>
      <c r="N27" s="232" t="s">
        <v>532</v>
      </c>
      <c r="O27" s="232" t="s">
        <v>532</v>
      </c>
      <c r="P27" s="232" t="s">
        <v>532</v>
      </c>
      <c r="Q27" s="232" t="s">
        <v>532</v>
      </c>
      <c r="R27" s="231" t="s">
        <v>532</v>
      </c>
      <c r="S27" s="231" t="s">
        <v>532</v>
      </c>
      <c r="T27" s="232" t="s">
        <v>532</v>
      </c>
      <c r="U27" s="232" t="s">
        <v>532</v>
      </c>
      <c r="V27" s="232" t="s">
        <v>532</v>
      </c>
      <c r="W27" s="232" t="s">
        <v>532</v>
      </c>
      <c r="X27" s="232" t="s">
        <v>532</v>
      </c>
      <c r="Y27" s="231" t="s">
        <v>532</v>
      </c>
      <c r="Z27" s="231" t="s">
        <v>532</v>
      </c>
      <c r="AA27" s="232" t="s">
        <v>532</v>
      </c>
      <c r="AB27" s="232" t="s">
        <v>532</v>
      </c>
      <c r="AC27" s="232" t="s">
        <v>532</v>
      </c>
      <c r="AD27" s="232" t="s">
        <v>532</v>
      </c>
      <c r="AE27" s="232" t="s">
        <v>532</v>
      </c>
      <c r="AF27" s="238" t="s">
        <v>532</v>
      </c>
      <c r="AG27" s="239"/>
    </row>
    <row r="28" spans="3:33" x14ac:dyDescent="0.25">
      <c r="C28" s="240">
        <v>24</v>
      </c>
      <c r="D28" s="241" t="s">
        <v>165</v>
      </c>
      <c r="E28" s="231" t="s">
        <v>532</v>
      </c>
      <c r="F28" s="232" t="s">
        <v>532</v>
      </c>
      <c r="G28" s="232" t="s">
        <v>532</v>
      </c>
      <c r="H28" s="232" t="s">
        <v>532</v>
      </c>
      <c r="I28" s="232" t="s">
        <v>532</v>
      </c>
      <c r="J28" s="232" t="s">
        <v>532</v>
      </c>
      <c r="K28" s="231" t="s">
        <v>532</v>
      </c>
      <c r="L28" s="231" t="s">
        <v>532</v>
      </c>
      <c r="M28" s="232" t="s">
        <v>532</v>
      </c>
      <c r="N28" s="232" t="s">
        <v>532</v>
      </c>
      <c r="O28" s="232" t="s">
        <v>532</v>
      </c>
      <c r="P28" s="232" t="s">
        <v>532</v>
      </c>
      <c r="Q28" s="233" t="s">
        <v>532</v>
      </c>
      <c r="R28" s="231" t="s">
        <v>532</v>
      </c>
      <c r="S28" s="231" t="s">
        <v>532</v>
      </c>
      <c r="T28" s="232" t="s">
        <v>532</v>
      </c>
      <c r="U28" s="232" t="s">
        <v>532</v>
      </c>
      <c r="V28" s="232" t="s">
        <v>532</v>
      </c>
      <c r="W28" s="233">
        <v>2</v>
      </c>
      <c r="X28" s="232" t="s">
        <v>532</v>
      </c>
      <c r="Y28" s="231" t="s">
        <v>532</v>
      </c>
      <c r="Z28" s="231" t="s">
        <v>532</v>
      </c>
      <c r="AA28" s="236" t="s">
        <v>532</v>
      </c>
      <c r="AB28" s="243" t="s">
        <v>532</v>
      </c>
      <c r="AC28" s="232" t="s">
        <v>532</v>
      </c>
      <c r="AD28" s="232" t="s">
        <v>532</v>
      </c>
      <c r="AE28" s="232" t="s">
        <v>532</v>
      </c>
      <c r="AF28" s="238" t="s">
        <v>532</v>
      </c>
      <c r="AG28" s="239"/>
    </row>
    <row r="29" spans="3:33" x14ac:dyDescent="0.25">
      <c r="C29" s="229">
        <v>25</v>
      </c>
      <c r="D29" s="230" t="s">
        <v>184</v>
      </c>
      <c r="E29" s="231" t="s">
        <v>532</v>
      </c>
      <c r="F29" s="232" t="s">
        <v>532</v>
      </c>
      <c r="G29" s="232" t="s">
        <v>532</v>
      </c>
      <c r="H29" s="252" t="s">
        <v>532</v>
      </c>
      <c r="I29" s="232" t="s">
        <v>532</v>
      </c>
      <c r="J29" s="232" t="s">
        <v>532</v>
      </c>
      <c r="K29" s="231" t="s">
        <v>532</v>
      </c>
      <c r="L29" s="231" t="s">
        <v>532</v>
      </c>
      <c r="M29" s="232" t="s">
        <v>532</v>
      </c>
      <c r="N29" s="232" t="s">
        <v>532</v>
      </c>
      <c r="O29" s="232" t="s">
        <v>532</v>
      </c>
      <c r="P29" s="232" t="s">
        <v>532</v>
      </c>
      <c r="Q29" s="243" t="s">
        <v>532</v>
      </c>
      <c r="R29" s="231" t="s">
        <v>532</v>
      </c>
      <c r="S29" s="231" t="s">
        <v>532</v>
      </c>
      <c r="T29" s="232" t="s">
        <v>532</v>
      </c>
      <c r="U29" s="232" t="s">
        <v>532</v>
      </c>
      <c r="V29" s="232" t="s">
        <v>532</v>
      </c>
      <c r="W29" s="232" t="s">
        <v>532</v>
      </c>
      <c r="X29" s="232" t="s">
        <v>532</v>
      </c>
      <c r="Y29" s="231" t="s">
        <v>532</v>
      </c>
      <c r="Z29" s="231" t="s">
        <v>532</v>
      </c>
      <c r="AA29" s="232" t="s">
        <v>532</v>
      </c>
      <c r="AB29" s="232" t="s">
        <v>532</v>
      </c>
      <c r="AC29" s="232" t="s">
        <v>532</v>
      </c>
      <c r="AD29" s="232" t="s">
        <v>532</v>
      </c>
      <c r="AE29" s="232" t="s">
        <v>532</v>
      </c>
      <c r="AF29" s="238" t="s">
        <v>532</v>
      </c>
      <c r="AG29" s="239"/>
    </row>
    <row r="30" spans="3:33" x14ac:dyDescent="0.25">
      <c r="C30" s="240">
        <v>26</v>
      </c>
      <c r="D30" s="241" t="s">
        <v>197</v>
      </c>
      <c r="E30" s="231" t="s">
        <v>532</v>
      </c>
      <c r="F30" s="232" t="s">
        <v>532</v>
      </c>
      <c r="G30" s="232" t="s">
        <v>532</v>
      </c>
      <c r="H30" s="232" t="s">
        <v>532</v>
      </c>
      <c r="I30" s="232" t="s">
        <v>532</v>
      </c>
      <c r="J30" s="252" t="s">
        <v>532</v>
      </c>
      <c r="K30" s="231" t="s">
        <v>532</v>
      </c>
      <c r="L30" s="231" t="s">
        <v>532</v>
      </c>
      <c r="M30" s="232" t="s">
        <v>532</v>
      </c>
      <c r="N30" s="232" t="s">
        <v>532</v>
      </c>
      <c r="O30" s="232" t="s">
        <v>532</v>
      </c>
      <c r="P30" s="243" t="s">
        <v>532</v>
      </c>
      <c r="Q30" s="232" t="s">
        <v>532</v>
      </c>
      <c r="R30" s="231" t="s">
        <v>532</v>
      </c>
      <c r="S30" s="231" t="s">
        <v>532</v>
      </c>
      <c r="T30" s="232" t="s">
        <v>532</v>
      </c>
      <c r="U30" s="232" t="s">
        <v>532</v>
      </c>
      <c r="V30" s="232" t="s">
        <v>532</v>
      </c>
      <c r="W30" s="232" t="s">
        <v>532</v>
      </c>
      <c r="X30" s="232" t="s">
        <v>532</v>
      </c>
      <c r="Y30" s="231" t="s">
        <v>532</v>
      </c>
      <c r="Z30" s="231" t="s">
        <v>532</v>
      </c>
      <c r="AA30" s="232" t="s">
        <v>532</v>
      </c>
      <c r="AB30" s="232" t="s">
        <v>532</v>
      </c>
      <c r="AC30" s="232" t="s">
        <v>532</v>
      </c>
      <c r="AD30" s="232" t="s">
        <v>532</v>
      </c>
      <c r="AE30" s="232" t="s">
        <v>532</v>
      </c>
      <c r="AF30" s="238" t="s">
        <v>532</v>
      </c>
      <c r="AG30" s="239"/>
    </row>
    <row r="31" spans="3:33" x14ac:dyDescent="0.25">
      <c r="C31" s="229">
        <v>27</v>
      </c>
      <c r="D31" s="230" t="s">
        <v>474</v>
      </c>
      <c r="E31" s="231" t="s">
        <v>532</v>
      </c>
      <c r="F31" s="232" t="s">
        <v>532</v>
      </c>
      <c r="G31" s="232" t="s">
        <v>532</v>
      </c>
      <c r="H31" s="232" t="s">
        <v>532</v>
      </c>
      <c r="I31" s="232" t="s">
        <v>532</v>
      </c>
      <c r="J31" s="232" t="s">
        <v>532</v>
      </c>
      <c r="K31" s="231" t="s">
        <v>532</v>
      </c>
      <c r="L31" s="231" t="s">
        <v>532</v>
      </c>
      <c r="M31" s="232" t="s">
        <v>532</v>
      </c>
      <c r="N31" s="232" t="s">
        <v>532</v>
      </c>
      <c r="O31" s="232" t="s">
        <v>532</v>
      </c>
      <c r="P31" s="232" t="s">
        <v>532</v>
      </c>
      <c r="Q31" s="232" t="s">
        <v>532</v>
      </c>
      <c r="R31" s="231" t="s">
        <v>532</v>
      </c>
      <c r="S31" s="231" t="s">
        <v>532</v>
      </c>
      <c r="T31" s="232" t="s">
        <v>532</v>
      </c>
      <c r="U31" s="232" t="s">
        <v>532</v>
      </c>
      <c r="V31" s="232" t="s">
        <v>532</v>
      </c>
      <c r="W31" s="232" t="s">
        <v>532</v>
      </c>
      <c r="X31" s="232" t="s">
        <v>532</v>
      </c>
      <c r="Y31" s="231" t="s">
        <v>532</v>
      </c>
      <c r="Z31" s="231" t="s">
        <v>532</v>
      </c>
      <c r="AA31" s="232" t="s">
        <v>532</v>
      </c>
      <c r="AB31" s="232" t="s">
        <v>532</v>
      </c>
      <c r="AC31" s="232" t="s">
        <v>532</v>
      </c>
      <c r="AD31" s="232" t="s">
        <v>532</v>
      </c>
      <c r="AE31" s="232" t="s">
        <v>532</v>
      </c>
      <c r="AF31" s="238" t="s">
        <v>532</v>
      </c>
      <c r="AG31" s="239"/>
    </row>
    <row r="32" spans="3:33" x14ac:dyDescent="0.25">
      <c r="C32" s="253">
        <v>28</v>
      </c>
      <c r="D32" s="245" t="s">
        <v>200</v>
      </c>
      <c r="E32" s="231" t="s">
        <v>532</v>
      </c>
      <c r="F32" s="232" t="s">
        <v>532</v>
      </c>
      <c r="G32" s="232" t="s">
        <v>532</v>
      </c>
      <c r="H32" s="232" t="s">
        <v>532</v>
      </c>
      <c r="I32" s="232" t="s">
        <v>532</v>
      </c>
      <c r="J32" s="232" t="s">
        <v>532</v>
      </c>
      <c r="K32" s="231" t="s">
        <v>532</v>
      </c>
      <c r="L32" s="231" t="s">
        <v>532</v>
      </c>
      <c r="M32" s="232" t="s">
        <v>532</v>
      </c>
      <c r="N32" s="232" t="s">
        <v>532</v>
      </c>
      <c r="O32" s="232" t="s">
        <v>532</v>
      </c>
      <c r="P32" s="232" t="s">
        <v>532</v>
      </c>
      <c r="Q32" s="232" t="s">
        <v>532</v>
      </c>
      <c r="R32" s="231" t="s">
        <v>532</v>
      </c>
      <c r="S32" s="231" t="s">
        <v>532</v>
      </c>
      <c r="T32" s="232" t="s">
        <v>532</v>
      </c>
      <c r="U32" s="232" t="s">
        <v>532</v>
      </c>
      <c r="V32" s="232" t="s">
        <v>532</v>
      </c>
      <c r="W32" s="232" t="s">
        <v>532</v>
      </c>
      <c r="X32" s="232" t="s">
        <v>532</v>
      </c>
      <c r="Y32" s="231" t="s">
        <v>532</v>
      </c>
      <c r="Z32" s="231" t="s">
        <v>532</v>
      </c>
      <c r="AA32" s="232" t="s">
        <v>532</v>
      </c>
      <c r="AB32" s="232" t="s">
        <v>532</v>
      </c>
      <c r="AC32" s="232" t="s">
        <v>532</v>
      </c>
      <c r="AD32" s="232" t="s">
        <v>532</v>
      </c>
      <c r="AE32" s="232" t="s">
        <v>532</v>
      </c>
      <c r="AF32" s="238" t="s">
        <v>532</v>
      </c>
      <c r="AG32" s="239"/>
    </row>
    <row r="33" spans="2:32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2:32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2:32" x14ac:dyDescent="0.25">
      <c r="B35" s="651" t="s">
        <v>538</v>
      </c>
      <c r="C35" s="254" t="s">
        <v>532</v>
      </c>
      <c r="D35" s="255" t="s">
        <v>539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2:32" x14ac:dyDescent="0.25">
      <c r="B36" s="651"/>
      <c r="C36" s="256" t="s">
        <v>532</v>
      </c>
      <c r="D36" s="255" t="s">
        <v>540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8" spans="2:32" x14ac:dyDescent="0.25">
      <c r="B38" s="651" t="s">
        <v>541</v>
      </c>
      <c r="C38" s="257" t="s">
        <v>532</v>
      </c>
      <c r="D38" s="255" t="s">
        <v>539</v>
      </c>
    </row>
    <row r="39" spans="2:32" x14ac:dyDescent="0.25">
      <c r="B39" s="651"/>
      <c r="C39" s="258" t="s">
        <v>532</v>
      </c>
      <c r="D39" s="255" t="s">
        <v>540</v>
      </c>
    </row>
    <row r="40" spans="2:32" x14ac:dyDescent="0.25">
      <c r="C40" s="259"/>
      <c r="D40" s="260" t="s">
        <v>542</v>
      </c>
    </row>
    <row r="41" spans="2:32" x14ac:dyDescent="0.25">
      <c r="C41" s="30"/>
    </row>
    <row r="43" spans="2:32" x14ac:dyDescent="0.25">
      <c r="C43" s="261"/>
      <c r="D43" s="30" t="s">
        <v>543</v>
      </c>
    </row>
    <row r="51" spans="34:40" x14ac:dyDescent="0.25">
      <c r="AI51" t="s">
        <v>544</v>
      </c>
    </row>
    <row r="53" spans="34:40" ht="18.75" customHeight="1" x14ac:dyDescent="0.25">
      <c r="AH53" s="652" t="s">
        <v>545</v>
      </c>
      <c r="AI53" s="654" t="s">
        <v>14</v>
      </c>
      <c r="AJ53" s="655"/>
      <c r="AK53" s="656" t="s">
        <v>546</v>
      </c>
      <c r="AL53" s="657"/>
      <c r="AM53" s="654" t="s">
        <v>547</v>
      </c>
      <c r="AN53" s="655"/>
    </row>
    <row r="54" spans="34:40" ht="37.5" customHeight="1" x14ac:dyDescent="0.25">
      <c r="AH54" s="653"/>
      <c r="AI54" s="239" t="s">
        <v>548</v>
      </c>
      <c r="AJ54" s="264" t="s">
        <v>549</v>
      </c>
      <c r="AK54" s="239" t="s">
        <v>548</v>
      </c>
      <c r="AL54" s="239" t="s">
        <v>549</v>
      </c>
      <c r="AM54" s="239" t="s">
        <v>548</v>
      </c>
      <c r="AN54" s="239" t="s">
        <v>549</v>
      </c>
    </row>
    <row r="55" spans="34:40" x14ac:dyDescent="0.25">
      <c r="AH55" s="262">
        <v>14</v>
      </c>
      <c r="AI55" s="222">
        <f>1+1+2+1</f>
        <v>5</v>
      </c>
      <c r="AJ55" s="222">
        <v>1</v>
      </c>
      <c r="AK55" s="265">
        <f>1+1+1+1</f>
        <v>4</v>
      </c>
      <c r="AL55" s="222">
        <f>1+1+1+1+1+1+1+1+1</f>
        <v>9</v>
      </c>
      <c r="AM55" s="263"/>
      <c r="AN55" s="222">
        <f>1+1</f>
        <v>2</v>
      </c>
    </row>
    <row r="57" spans="34:40" x14ac:dyDescent="0.25">
      <c r="AH57" s="30"/>
      <c r="AI57" s="30" t="s">
        <v>550</v>
      </c>
      <c r="AJ57" s="30"/>
      <c r="AK57" s="30"/>
      <c r="AL57" s="30"/>
      <c r="AM57" s="30"/>
      <c r="AN57" s="30"/>
    </row>
    <row r="58" spans="34:40" x14ac:dyDescent="0.25">
      <c r="AH58" s="266"/>
      <c r="AI58" s="266"/>
      <c r="AJ58" s="266"/>
      <c r="AK58" s="266"/>
      <c r="AL58" s="266"/>
      <c r="AM58" s="266"/>
      <c r="AN58" s="266"/>
    </row>
    <row r="59" spans="34:40" x14ac:dyDescent="0.25">
      <c r="AH59" s="658" t="s">
        <v>545</v>
      </c>
      <c r="AI59" s="654" t="s">
        <v>14</v>
      </c>
      <c r="AJ59" s="655"/>
      <c r="AK59" s="654" t="s">
        <v>546</v>
      </c>
      <c r="AL59" s="655"/>
      <c r="AM59" s="654" t="s">
        <v>547</v>
      </c>
      <c r="AN59" s="655"/>
    </row>
    <row r="60" spans="34:40" x14ac:dyDescent="0.25">
      <c r="AH60" s="659"/>
      <c r="AI60" s="239" t="s">
        <v>548</v>
      </c>
      <c r="AJ60" s="239" t="s">
        <v>549</v>
      </c>
      <c r="AK60" s="239" t="s">
        <v>548</v>
      </c>
      <c r="AL60" s="239" t="s">
        <v>549</v>
      </c>
      <c r="AM60" s="239" t="s">
        <v>548</v>
      </c>
      <c r="AN60" s="239" t="s">
        <v>549</v>
      </c>
    </row>
    <row r="61" spans="34:40" x14ac:dyDescent="0.25">
      <c r="AH61" s="222">
        <v>11</v>
      </c>
      <c r="AI61" s="222">
        <f>2+1</f>
        <v>3</v>
      </c>
      <c r="AJ61" s="222">
        <f>1+1</f>
        <v>2</v>
      </c>
      <c r="AK61" s="222"/>
      <c r="AL61" s="222">
        <f>1+2+1+3+1</f>
        <v>8</v>
      </c>
      <c r="AM61" s="222"/>
      <c r="AN61" s="222"/>
    </row>
    <row r="62" spans="34:40" x14ac:dyDescent="0.25">
      <c r="AH62" t="s">
        <v>551</v>
      </c>
      <c r="AI62">
        <v>3</v>
      </c>
      <c r="AJ62">
        <v>1</v>
      </c>
      <c r="AL62">
        <v>1</v>
      </c>
      <c r="AN62">
        <v>2</v>
      </c>
    </row>
  </sheetData>
  <mergeCells count="15">
    <mergeCell ref="AM53:AN53"/>
    <mergeCell ref="AH59:AH60"/>
    <mergeCell ref="AI59:AJ59"/>
    <mergeCell ref="AK59:AL59"/>
    <mergeCell ref="AM59:AN59"/>
    <mergeCell ref="B35:B36"/>
    <mergeCell ref="B38:B39"/>
    <mergeCell ref="AH53:AH54"/>
    <mergeCell ref="AI53:AJ53"/>
    <mergeCell ref="AK53:AL53"/>
    <mergeCell ref="H1:X1"/>
    <mergeCell ref="C3:C4"/>
    <mergeCell ref="D3:D4"/>
    <mergeCell ref="E3:AF3"/>
    <mergeCell ref="AG3:AG4"/>
  </mergeCells>
  <pageMargins left="0.70078740157480324" right="0.70078740157480324" top="0.75196850393700776" bottom="0.75196850393700776" header="0.3" footer="0.3"/>
  <pageSetup paperSize="9" scale="72" fitToWidth="0" orientation="landscape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82"/>
  <sheetViews>
    <sheetView workbookViewId="0">
      <pane ySplit="2" topLeftCell="A3" activePane="bottomLeft" state="frozen"/>
      <selection activeCell="D11" sqref="D11"/>
      <selection pane="bottomLeft"/>
    </sheetView>
  </sheetViews>
  <sheetFormatPr defaultRowHeight="15" x14ac:dyDescent="0.25"/>
  <cols>
    <col min="2" max="2" width="4.28515625" style="220" customWidth="1"/>
    <col min="3" max="3" width="21.85546875" style="220" customWidth="1"/>
    <col min="4" max="4" width="20.5703125" style="220" customWidth="1"/>
    <col min="5" max="5" width="36.28515625" customWidth="1"/>
    <col min="6" max="8" width="21.7109375" customWidth="1"/>
    <col min="9" max="9" width="16.7109375" customWidth="1"/>
  </cols>
  <sheetData>
    <row r="2" spans="2:9" ht="30.75" customHeight="1" x14ac:dyDescent="0.25">
      <c r="B2" s="267" t="s">
        <v>552</v>
      </c>
      <c r="C2" s="268" t="s">
        <v>553</v>
      </c>
      <c r="D2" s="269" t="s">
        <v>554</v>
      </c>
      <c r="E2" s="270" t="s">
        <v>555</v>
      </c>
      <c r="F2" s="271" t="s">
        <v>556</v>
      </c>
      <c r="G2" s="271" t="s">
        <v>557</v>
      </c>
      <c r="H2" s="271" t="s">
        <v>558</v>
      </c>
      <c r="I2" s="271" t="s">
        <v>534</v>
      </c>
    </row>
    <row r="3" spans="2:9" ht="36" x14ac:dyDescent="0.25">
      <c r="B3" s="272">
        <v>1</v>
      </c>
      <c r="C3" s="123" t="s">
        <v>319</v>
      </c>
      <c r="D3" s="273" t="s">
        <v>559</v>
      </c>
      <c r="E3" s="274" t="s">
        <v>560</v>
      </c>
      <c r="F3" s="275" t="s">
        <v>14</v>
      </c>
      <c r="G3" s="276">
        <v>2222938.11</v>
      </c>
      <c r="H3" s="275"/>
      <c r="I3" s="275" t="s">
        <v>532</v>
      </c>
    </row>
    <row r="4" spans="2:9" x14ac:dyDescent="0.25">
      <c r="B4" s="272">
        <v>2</v>
      </c>
      <c r="C4" s="123" t="s">
        <v>319</v>
      </c>
      <c r="D4" s="273" t="s">
        <v>561</v>
      </c>
      <c r="E4" s="274" t="s">
        <v>562</v>
      </c>
      <c r="F4" s="275" t="s">
        <v>14</v>
      </c>
      <c r="G4" s="276"/>
      <c r="H4" s="275"/>
      <c r="I4" s="275" t="s">
        <v>563</v>
      </c>
    </row>
    <row r="5" spans="2:9" ht="33.75" customHeight="1" x14ac:dyDescent="0.25">
      <c r="B5" s="272">
        <v>3</v>
      </c>
      <c r="C5" s="123" t="s">
        <v>79</v>
      </c>
      <c r="D5" s="273" t="s">
        <v>564</v>
      </c>
      <c r="E5" s="274" t="s">
        <v>565</v>
      </c>
      <c r="F5" s="275" t="s">
        <v>14</v>
      </c>
      <c r="G5" s="276">
        <v>675815.57</v>
      </c>
      <c r="H5" s="275"/>
      <c r="I5" s="275" t="s">
        <v>532</v>
      </c>
    </row>
    <row r="6" spans="2:9" ht="36" x14ac:dyDescent="0.25">
      <c r="B6" s="272">
        <v>4</v>
      </c>
      <c r="C6" s="123" t="s">
        <v>403</v>
      </c>
      <c r="D6" s="273" t="s">
        <v>566</v>
      </c>
      <c r="E6" s="274" t="s">
        <v>567</v>
      </c>
      <c r="F6" s="275" t="s">
        <v>14</v>
      </c>
      <c r="G6" s="276">
        <v>470326.14</v>
      </c>
      <c r="H6" s="275"/>
      <c r="I6" s="275" t="s">
        <v>532</v>
      </c>
    </row>
    <row r="7" spans="2:9" ht="48" x14ac:dyDescent="0.25">
      <c r="B7" s="272">
        <v>5</v>
      </c>
      <c r="C7" s="123" t="s">
        <v>301</v>
      </c>
      <c r="D7" s="273" t="s">
        <v>568</v>
      </c>
      <c r="E7" s="274" t="s">
        <v>569</v>
      </c>
      <c r="F7" s="275" t="s">
        <v>14</v>
      </c>
      <c r="G7" s="276">
        <v>381505.32</v>
      </c>
      <c r="H7" s="275"/>
      <c r="I7" s="275" t="s">
        <v>532</v>
      </c>
    </row>
    <row r="8" spans="2:9" ht="33.75" customHeight="1" x14ac:dyDescent="0.25">
      <c r="B8" s="272">
        <v>6</v>
      </c>
      <c r="C8" s="123" t="s">
        <v>128</v>
      </c>
      <c r="D8" s="273" t="s">
        <v>570</v>
      </c>
      <c r="E8" s="274" t="s">
        <v>571</v>
      </c>
      <c r="F8" s="275" t="s">
        <v>14</v>
      </c>
      <c r="G8" s="276">
        <v>1103856.81</v>
      </c>
      <c r="H8" s="275"/>
      <c r="I8" s="275" t="s">
        <v>532</v>
      </c>
    </row>
    <row r="9" spans="2:9" ht="36" x14ac:dyDescent="0.25">
      <c r="B9" s="272">
        <v>7</v>
      </c>
      <c r="C9" s="123" t="s">
        <v>301</v>
      </c>
      <c r="D9" s="273" t="s">
        <v>572</v>
      </c>
      <c r="E9" s="274" t="s">
        <v>573</v>
      </c>
      <c r="F9" s="275" t="s">
        <v>14</v>
      </c>
      <c r="G9" s="276">
        <v>343181.38</v>
      </c>
      <c r="H9" s="275"/>
      <c r="I9" s="275" t="s">
        <v>532</v>
      </c>
    </row>
    <row r="10" spans="2:9" ht="36" x14ac:dyDescent="0.25">
      <c r="B10" s="272">
        <v>8</v>
      </c>
      <c r="C10" s="123" t="s">
        <v>301</v>
      </c>
      <c r="D10" s="273" t="s">
        <v>574</v>
      </c>
      <c r="E10" s="274" t="s">
        <v>575</v>
      </c>
      <c r="F10" s="275" t="s">
        <v>14</v>
      </c>
      <c r="G10" s="276">
        <v>432110.41</v>
      </c>
      <c r="H10" s="275"/>
      <c r="I10" s="275" t="s">
        <v>532</v>
      </c>
    </row>
    <row r="11" spans="2:9" ht="36" x14ac:dyDescent="0.25">
      <c r="B11" s="272">
        <v>9</v>
      </c>
      <c r="C11" s="123" t="s">
        <v>301</v>
      </c>
      <c r="D11" s="273" t="s">
        <v>576</v>
      </c>
      <c r="E11" s="274" t="s">
        <v>577</v>
      </c>
      <c r="F11" s="275" t="s">
        <v>14</v>
      </c>
      <c r="G11" s="276">
        <v>383177.67</v>
      </c>
      <c r="H11" s="275"/>
      <c r="I11" s="275" t="s">
        <v>532</v>
      </c>
    </row>
    <row r="12" spans="2:9" ht="24" x14ac:dyDescent="0.25">
      <c r="B12" s="272">
        <v>10</v>
      </c>
      <c r="C12" s="123" t="s">
        <v>319</v>
      </c>
      <c r="D12" s="273" t="s">
        <v>578</v>
      </c>
      <c r="E12" s="274" t="s">
        <v>579</v>
      </c>
      <c r="F12" s="275" t="s">
        <v>14</v>
      </c>
      <c r="G12" s="276"/>
      <c r="H12" s="275"/>
      <c r="I12" s="275" t="s">
        <v>563</v>
      </c>
    </row>
    <row r="13" spans="2:9" ht="24" x14ac:dyDescent="0.25">
      <c r="B13" s="272">
        <v>11</v>
      </c>
      <c r="C13" s="123" t="s">
        <v>319</v>
      </c>
      <c r="D13" s="273" t="s">
        <v>580</v>
      </c>
      <c r="E13" s="274" t="s">
        <v>581</v>
      </c>
      <c r="F13" s="275" t="s">
        <v>14</v>
      </c>
      <c r="G13" s="277">
        <v>199209.41</v>
      </c>
      <c r="H13" s="275"/>
      <c r="I13" s="275" t="s">
        <v>532</v>
      </c>
    </row>
    <row r="14" spans="2:9" ht="36" x14ac:dyDescent="0.25">
      <c r="B14" s="272">
        <v>12</v>
      </c>
      <c r="C14" s="123" t="s">
        <v>79</v>
      </c>
      <c r="D14" s="273" t="s">
        <v>582</v>
      </c>
      <c r="E14" s="274" t="s">
        <v>583</v>
      </c>
      <c r="F14" s="275" t="s">
        <v>14</v>
      </c>
      <c r="G14" s="276">
        <v>768806.89</v>
      </c>
      <c r="H14" s="275"/>
      <c r="I14" s="275" t="s">
        <v>532</v>
      </c>
    </row>
    <row r="15" spans="2:9" ht="36" x14ac:dyDescent="0.25">
      <c r="B15" s="272">
        <v>13</v>
      </c>
      <c r="C15" s="123" t="s">
        <v>319</v>
      </c>
      <c r="D15" s="273" t="s">
        <v>584</v>
      </c>
      <c r="E15" s="274" t="s">
        <v>585</v>
      </c>
      <c r="F15" s="275" t="s">
        <v>14</v>
      </c>
      <c r="G15" s="276">
        <v>386055.85</v>
      </c>
      <c r="H15" s="275"/>
      <c r="I15" s="275" t="s">
        <v>532</v>
      </c>
    </row>
    <row r="16" spans="2:9" ht="24" x14ac:dyDescent="0.25">
      <c r="B16" s="272">
        <v>14</v>
      </c>
      <c r="C16" s="278" t="s">
        <v>128</v>
      </c>
      <c r="D16" s="273" t="s">
        <v>586</v>
      </c>
      <c r="E16" s="279" t="s">
        <v>587</v>
      </c>
      <c r="F16" s="275" t="s">
        <v>14</v>
      </c>
      <c r="G16" s="276">
        <v>602297.68999999994</v>
      </c>
      <c r="H16" s="275"/>
      <c r="I16" s="275" t="s">
        <v>532</v>
      </c>
    </row>
    <row r="17" spans="2:9" x14ac:dyDescent="0.25">
      <c r="B17" s="272">
        <v>15</v>
      </c>
      <c r="C17" s="7" t="s">
        <v>110</v>
      </c>
      <c r="D17" s="7"/>
      <c r="E17" s="280" t="s">
        <v>588</v>
      </c>
      <c r="F17" s="7"/>
      <c r="G17" s="281"/>
      <c r="H17" s="7"/>
      <c r="I17" s="275" t="s">
        <v>563</v>
      </c>
    </row>
    <row r="18" spans="2:9" ht="36" x14ac:dyDescent="0.25">
      <c r="B18" s="272">
        <v>16</v>
      </c>
      <c r="C18" s="7" t="s">
        <v>58</v>
      </c>
      <c r="D18" s="7" t="s">
        <v>589</v>
      </c>
      <c r="E18" s="282" t="s">
        <v>590</v>
      </c>
      <c r="F18" s="7" t="s">
        <v>14</v>
      </c>
      <c r="G18" s="281">
        <v>56299.02</v>
      </c>
      <c r="H18" s="7" t="s">
        <v>591</v>
      </c>
      <c r="I18" s="7" t="s">
        <v>592</v>
      </c>
    </row>
    <row r="19" spans="2:9" ht="24" x14ac:dyDescent="0.25">
      <c r="B19" s="272">
        <v>17</v>
      </c>
      <c r="C19" s="7" t="s">
        <v>58</v>
      </c>
      <c r="D19" s="7" t="s">
        <v>593</v>
      </c>
      <c r="E19" s="282" t="s">
        <v>594</v>
      </c>
      <c r="F19" s="7" t="s">
        <v>14</v>
      </c>
      <c r="G19" s="281">
        <v>48104.94</v>
      </c>
      <c r="H19" s="206" t="s">
        <v>591</v>
      </c>
      <c r="I19" s="7" t="s">
        <v>444</v>
      </c>
    </row>
    <row r="20" spans="2:9" ht="24" x14ac:dyDescent="0.25">
      <c r="B20" s="272">
        <v>18</v>
      </c>
      <c r="C20" s="7" t="s">
        <v>58</v>
      </c>
      <c r="D20" s="206" t="s">
        <v>595</v>
      </c>
      <c r="E20" s="282" t="s">
        <v>596</v>
      </c>
      <c r="F20" s="7" t="s">
        <v>14</v>
      </c>
      <c r="G20" s="281">
        <v>312085.21999999997</v>
      </c>
      <c r="H20" s="7" t="s">
        <v>591</v>
      </c>
      <c r="I20" s="7" t="s">
        <v>597</v>
      </c>
    </row>
    <row r="21" spans="2:9" ht="48" x14ac:dyDescent="0.25">
      <c r="B21" s="283">
        <v>19</v>
      </c>
      <c r="C21" s="275" t="s">
        <v>480</v>
      </c>
      <c r="D21" s="275" t="s">
        <v>598</v>
      </c>
      <c r="E21" s="282" t="s">
        <v>599</v>
      </c>
      <c r="F21" s="275" t="s">
        <v>14</v>
      </c>
      <c r="G21" s="276">
        <v>3943642.12</v>
      </c>
      <c r="H21" s="282"/>
      <c r="I21" s="282"/>
    </row>
    <row r="22" spans="2:9" x14ac:dyDescent="0.25">
      <c r="B22" s="284">
        <v>20</v>
      </c>
      <c r="C22" s="206" t="s">
        <v>58</v>
      </c>
      <c r="D22" s="284" t="s">
        <v>600</v>
      </c>
      <c r="E22" s="280" t="s">
        <v>601</v>
      </c>
      <c r="F22" s="275" t="s">
        <v>14</v>
      </c>
      <c r="G22" s="285">
        <v>14441336.359999999</v>
      </c>
      <c r="H22" s="280"/>
      <c r="I22" s="280"/>
    </row>
    <row r="23" spans="2:9" ht="36.75" x14ac:dyDescent="0.25">
      <c r="B23" s="284">
        <v>21</v>
      </c>
      <c r="C23" s="284" t="s">
        <v>602</v>
      </c>
      <c r="D23" s="284" t="s">
        <v>603</v>
      </c>
      <c r="E23" s="286" t="s">
        <v>604</v>
      </c>
      <c r="F23" s="275" t="s">
        <v>14</v>
      </c>
      <c r="G23" s="285">
        <v>63894.720000000001</v>
      </c>
      <c r="H23" s="280"/>
      <c r="I23" s="280"/>
    </row>
    <row r="24" spans="2:9" x14ac:dyDescent="0.25">
      <c r="B24" s="284">
        <v>22</v>
      </c>
      <c r="C24" s="284" t="s">
        <v>602</v>
      </c>
      <c r="D24" s="284" t="s">
        <v>605</v>
      </c>
      <c r="E24" s="280" t="s">
        <v>606</v>
      </c>
      <c r="F24" s="275" t="s">
        <v>14</v>
      </c>
      <c r="G24" s="285">
        <v>495031.17</v>
      </c>
      <c r="H24" s="280"/>
      <c r="I24" s="280"/>
    </row>
    <row r="25" spans="2:9" ht="36.75" customHeight="1" x14ac:dyDescent="0.25">
      <c r="B25" s="284">
        <v>23</v>
      </c>
      <c r="C25" s="284" t="s">
        <v>602</v>
      </c>
      <c r="D25" s="284" t="s">
        <v>607</v>
      </c>
      <c r="E25" s="286" t="s">
        <v>608</v>
      </c>
      <c r="F25" s="275" t="s">
        <v>14</v>
      </c>
      <c r="G25" s="285">
        <v>128954.12</v>
      </c>
      <c r="H25" s="280"/>
      <c r="I25" s="280"/>
    </row>
    <row r="26" spans="2:9" x14ac:dyDescent="0.25">
      <c r="B26" s="284">
        <v>24</v>
      </c>
      <c r="C26" s="284" t="s">
        <v>602</v>
      </c>
      <c r="D26" s="284" t="s">
        <v>609</v>
      </c>
      <c r="E26" s="280" t="s">
        <v>610</v>
      </c>
      <c r="F26" s="275" t="s">
        <v>14</v>
      </c>
      <c r="G26" s="285">
        <v>176011.82</v>
      </c>
      <c r="H26" s="280"/>
      <c r="I26" s="280"/>
    </row>
    <row r="27" spans="2:9" x14ac:dyDescent="0.25">
      <c r="B27" s="284">
        <v>25</v>
      </c>
      <c r="C27" s="284" t="s">
        <v>602</v>
      </c>
      <c r="D27" s="284" t="s">
        <v>611</v>
      </c>
      <c r="E27" s="280" t="s">
        <v>612</v>
      </c>
      <c r="F27" s="275" t="s">
        <v>14</v>
      </c>
      <c r="G27" s="285">
        <v>52698.61</v>
      </c>
      <c r="H27" s="280"/>
      <c r="I27" s="280"/>
    </row>
    <row r="28" spans="2:9" x14ac:dyDescent="0.25">
      <c r="B28" s="284">
        <v>26</v>
      </c>
      <c r="C28" s="284" t="s">
        <v>602</v>
      </c>
      <c r="D28" s="284" t="s">
        <v>613</v>
      </c>
      <c r="E28" s="280" t="s">
        <v>612</v>
      </c>
      <c r="F28" s="275" t="s">
        <v>14</v>
      </c>
      <c r="G28" s="285">
        <v>91586.39</v>
      </c>
      <c r="H28" s="280"/>
      <c r="I28" s="280"/>
    </row>
    <row r="29" spans="2:9" x14ac:dyDescent="0.25">
      <c r="B29" s="284">
        <v>27</v>
      </c>
      <c r="C29" s="284" t="s">
        <v>602</v>
      </c>
      <c r="D29" s="284" t="s">
        <v>614</v>
      </c>
      <c r="E29" s="280" t="s">
        <v>615</v>
      </c>
      <c r="F29" s="275" t="s">
        <v>14</v>
      </c>
      <c r="G29" s="285">
        <v>38028.269999999997</v>
      </c>
      <c r="H29" s="280"/>
      <c r="I29" s="280"/>
    </row>
    <row r="30" spans="2:9" x14ac:dyDescent="0.25">
      <c r="B30" s="284">
        <v>28</v>
      </c>
      <c r="C30" s="284" t="s">
        <v>602</v>
      </c>
      <c r="D30" s="284" t="s">
        <v>616</v>
      </c>
      <c r="E30" s="280" t="s">
        <v>617</v>
      </c>
      <c r="F30" s="275" t="s">
        <v>14</v>
      </c>
      <c r="G30" s="285">
        <v>149884.17000000001</v>
      </c>
      <c r="H30" s="280"/>
      <c r="I30" s="280"/>
    </row>
    <row r="31" spans="2:9" x14ac:dyDescent="0.25">
      <c r="B31" s="284">
        <v>39</v>
      </c>
      <c r="C31" s="284" t="s">
        <v>602</v>
      </c>
      <c r="D31" s="284" t="s">
        <v>618</v>
      </c>
      <c r="E31" s="280" t="s">
        <v>619</v>
      </c>
      <c r="F31" s="275" t="s">
        <v>14</v>
      </c>
      <c r="G31" s="285">
        <v>343692.98</v>
      </c>
      <c r="H31" s="280"/>
      <c r="I31" s="280"/>
    </row>
    <row r="32" spans="2:9" ht="24.75" x14ac:dyDescent="0.25">
      <c r="B32" s="284">
        <v>30</v>
      </c>
      <c r="C32" s="284" t="s">
        <v>602</v>
      </c>
      <c r="D32" s="284" t="s">
        <v>620</v>
      </c>
      <c r="E32" s="286" t="s">
        <v>621</v>
      </c>
      <c r="F32" s="275" t="s">
        <v>14</v>
      </c>
      <c r="G32" s="285">
        <v>34319.94</v>
      </c>
      <c r="H32" s="280"/>
      <c r="I32" s="280"/>
    </row>
    <row r="33" spans="2:9" x14ac:dyDescent="0.25">
      <c r="B33" s="284">
        <v>31</v>
      </c>
      <c r="C33" s="284" t="s">
        <v>602</v>
      </c>
      <c r="D33" s="284" t="s">
        <v>622</v>
      </c>
      <c r="E33" s="280" t="s">
        <v>623</v>
      </c>
      <c r="F33" s="275" t="s">
        <v>14</v>
      </c>
      <c r="G33" s="285">
        <v>57593.88</v>
      </c>
      <c r="H33" s="280"/>
      <c r="I33" s="280"/>
    </row>
    <row r="34" spans="2:9" x14ac:dyDescent="0.25">
      <c r="B34" s="284">
        <v>32</v>
      </c>
      <c r="C34" s="284" t="s">
        <v>602</v>
      </c>
      <c r="D34" s="284" t="s">
        <v>624</v>
      </c>
      <c r="E34" s="280" t="s">
        <v>625</v>
      </c>
      <c r="F34" s="275" t="s">
        <v>14</v>
      </c>
      <c r="G34" s="285">
        <v>486601.18</v>
      </c>
      <c r="H34" s="280"/>
      <c r="I34" s="280"/>
    </row>
    <row r="35" spans="2:9" x14ac:dyDescent="0.25">
      <c r="B35" s="284">
        <v>33</v>
      </c>
      <c r="C35" s="284" t="s">
        <v>602</v>
      </c>
      <c r="D35" s="284" t="s">
        <v>626</v>
      </c>
      <c r="E35" s="280" t="s">
        <v>627</v>
      </c>
      <c r="F35" s="275" t="s">
        <v>14</v>
      </c>
      <c r="G35" s="285">
        <v>3252519.78</v>
      </c>
      <c r="H35" s="280"/>
      <c r="I35" s="280"/>
    </row>
    <row r="36" spans="2:9" x14ac:dyDescent="0.25">
      <c r="B36" s="284">
        <v>34</v>
      </c>
      <c r="C36" s="284" t="s">
        <v>602</v>
      </c>
      <c r="D36" s="284" t="s">
        <v>628</v>
      </c>
      <c r="E36" s="280" t="s">
        <v>629</v>
      </c>
      <c r="F36" s="275" t="s">
        <v>14</v>
      </c>
      <c r="G36" s="285">
        <v>19290.3</v>
      </c>
      <c r="H36" s="280"/>
      <c r="I36" s="280"/>
    </row>
    <row r="37" spans="2:9" x14ac:dyDescent="0.25">
      <c r="B37" s="284">
        <v>35</v>
      </c>
      <c r="C37" s="284" t="s">
        <v>602</v>
      </c>
      <c r="D37" s="284" t="s">
        <v>630</v>
      </c>
      <c r="E37" s="280" t="s">
        <v>629</v>
      </c>
      <c r="F37" s="275" t="s">
        <v>14</v>
      </c>
      <c r="G37" s="285">
        <v>15119.69</v>
      </c>
      <c r="H37" s="280"/>
      <c r="I37" s="280"/>
    </row>
    <row r="38" spans="2:9" x14ac:dyDescent="0.25">
      <c r="B38" s="284">
        <v>36</v>
      </c>
      <c r="C38" s="284" t="s">
        <v>602</v>
      </c>
      <c r="D38" s="284" t="s">
        <v>631</v>
      </c>
      <c r="E38" s="280" t="s">
        <v>629</v>
      </c>
      <c r="F38" s="275" t="s">
        <v>14</v>
      </c>
      <c r="G38" s="285">
        <v>610284.65</v>
      </c>
      <c r="H38" s="280"/>
      <c r="I38" s="280"/>
    </row>
    <row r="39" spans="2:9" x14ac:dyDescent="0.25">
      <c r="B39" s="284">
        <v>37</v>
      </c>
      <c r="C39" s="284" t="s">
        <v>602</v>
      </c>
      <c r="D39" s="284" t="s">
        <v>632</v>
      </c>
      <c r="E39" s="280" t="s">
        <v>633</v>
      </c>
      <c r="F39" s="287" t="s">
        <v>14</v>
      </c>
      <c r="G39" s="285">
        <v>59231.7</v>
      </c>
      <c r="H39" s="280"/>
      <c r="I39" s="280"/>
    </row>
    <row r="40" spans="2:9" x14ac:dyDescent="0.25">
      <c r="B40" s="284">
        <v>38</v>
      </c>
      <c r="C40" s="284" t="s">
        <v>602</v>
      </c>
      <c r="D40" s="284" t="s">
        <v>634</v>
      </c>
      <c r="E40" s="280" t="s">
        <v>635</v>
      </c>
      <c r="F40" s="275" t="s">
        <v>14</v>
      </c>
      <c r="G40" s="285">
        <v>177952.14</v>
      </c>
      <c r="H40" s="280"/>
      <c r="I40" s="280"/>
    </row>
    <row r="41" spans="2:9" x14ac:dyDescent="0.25">
      <c r="B41" s="284">
        <v>39</v>
      </c>
      <c r="C41" s="284" t="s">
        <v>602</v>
      </c>
      <c r="D41" s="284" t="s">
        <v>636</v>
      </c>
      <c r="E41" s="280" t="s">
        <v>637</v>
      </c>
      <c r="F41" s="275" t="s">
        <v>14</v>
      </c>
      <c r="G41" s="285">
        <v>18035.66</v>
      </c>
      <c r="H41" s="280"/>
      <c r="I41" s="280"/>
    </row>
    <row r="42" spans="2:9" x14ac:dyDescent="0.25">
      <c r="B42" s="284">
        <v>40</v>
      </c>
      <c r="C42" s="284" t="s">
        <v>602</v>
      </c>
      <c r="D42" s="284" t="s">
        <v>638</v>
      </c>
      <c r="E42" s="280" t="s">
        <v>639</v>
      </c>
      <c r="F42" s="275" t="s">
        <v>14</v>
      </c>
      <c r="G42" s="285">
        <v>353137.37</v>
      </c>
      <c r="H42" s="280"/>
      <c r="I42" s="280"/>
    </row>
    <row r="43" spans="2:9" ht="36.75" x14ac:dyDescent="0.25">
      <c r="B43" s="284">
        <v>41</v>
      </c>
      <c r="C43" s="284" t="s">
        <v>602</v>
      </c>
      <c r="D43" s="284" t="s">
        <v>640</v>
      </c>
      <c r="E43" s="286" t="s">
        <v>641</v>
      </c>
      <c r="F43" s="275" t="s">
        <v>14</v>
      </c>
      <c r="G43" s="285">
        <v>2516387.2000000002</v>
      </c>
      <c r="H43" s="280"/>
      <c r="I43" s="280"/>
    </row>
    <row r="44" spans="2:9" ht="24.75" x14ac:dyDescent="0.25">
      <c r="B44" s="284">
        <v>42</v>
      </c>
      <c r="C44" s="284" t="s">
        <v>602</v>
      </c>
      <c r="D44" s="284" t="s">
        <v>642</v>
      </c>
      <c r="E44" s="286" t="s">
        <v>643</v>
      </c>
      <c r="F44" s="275" t="s">
        <v>14</v>
      </c>
      <c r="G44" s="285">
        <v>81103.22</v>
      </c>
      <c r="H44" s="280"/>
      <c r="I44" s="280"/>
    </row>
    <row r="45" spans="2:9" ht="24.75" x14ac:dyDescent="0.25">
      <c r="B45" s="284">
        <v>43</v>
      </c>
      <c r="C45" s="284" t="s">
        <v>602</v>
      </c>
      <c r="D45" s="284" t="s">
        <v>644</v>
      </c>
      <c r="E45" s="286" t="s">
        <v>645</v>
      </c>
      <c r="F45" s="275" t="s">
        <v>14</v>
      </c>
      <c r="G45" s="285">
        <v>108610.27</v>
      </c>
      <c r="H45" s="280"/>
      <c r="I45" s="280"/>
    </row>
    <row r="46" spans="2:9" ht="24.75" x14ac:dyDescent="0.25">
      <c r="B46" s="284">
        <v>44</v>
      </c>
      <c r="C46" s="284" t="s">
        <v>602</v>
      </c>
      <c r="D46" s="284" t="s">
        <v>646</v>
      </c>
      <c r="E46" s="286" t="s">
        <v>647</v>
      </c>
      <c r="F46" s="275" t="s">
        <v>14</v>
      </c>
      <c r="G46" s="285">
        <v>1277957</v>
      </c>
      <c r="H46" s="280"/>
      <c r="I46" s="280"/>
    </row>
    <row r="47" spans="2:9" x14ac:dyDescent="0.25">
      <c r="B47" s="284">
        <v>45</v>
      </c>
      <c r="C47" s="284" t="s">
        <v>602</v>
      </c>
      <c r="D47" s="284" t="s">
        <v>648</v>
      </c>
      <c r="E47" s="280" t="s">
        <v>649</v>
      </c>
      <c r="F47" s="275" t="s">
        <v>14</v>
      </c>
      <c r="G47" s="285">
        <v>25398.86</v>
      </c>
      <c r="H47" s="280"/>
      <c r="I47" s="280"/>
    </row>
    <row r="48" spans="2:9" ht="24.75" x14ac:dyDescent="0.25">
      <c r="B48" s="284">
        <v>46</v>
      </c>
      <c r="C48" s="284" t="s">
        <v>602</v>
      </c>
      <c r="D48" s="284" t="s">
        <v>650</v>
      </c>
      <c r="E48" s="286" t="s">
        <v>643</v>
      </c>
      <c r="F48" s="275" t="s">
        <v>14</v>
      </c>
      <c r="G48" s="285">
        <v>111400.4</v>
      </c>
      <c r="H48" s="280"/>
      <c r="I48" s="280"/>
    </row>
    <row r="49" spans="2:9" x14ac:dyDescent="0.25">
      <c r="B49" s="284">
        <v>47</v>
      </c>
      <c r="C49" s="284" t="s">
        <v>77</v>
      </c>
      <c r="D49" s="288"/>
      <c r="E49" s="280" t="s">
        <v>651</v>
      </c>
      <c r="F49" s="280"/>
      <c r="G49" s="285">
        <v>122781132.40000001</v>
      </c>
      <c r="H49" s="280"/>
      <c r="I49" s="280"/>
    </row>
    <row r="50" spans="2:9" ht="24.75" x14ac:dyDescent="0.25">
      <c r="B50" s="284">
        <v>48</v>
      </c>
      <c r="C50" s="284" t="s">
        <v>602</v>
      </c>
      <c r="D50" s="288"/>
      <c r="E50" s="286" t="s">
        <v>652</v>
      </c>
      <c r="F50" s="275"/>
      <c r="G50" s="285">
        <v>794870.7</v>
      </c>
      <c r="H50" s="280"/>
      <c r="I50" s="280"/>
    </row>
    <row r="51" spans="2:9" x14ac:dyDescent="0.25">
      <c r="B51" s="284">
        <v>49</v>
      </c>
      <c r="C51" s="284" t="s">
        <v>602</v>
      </c>
      <c r="D51" s="288"/>
      <c r="E51" s="289" t="s">
        <v>653</v>
      </c>
      <c r="F51" s="280"/>
      <c r="G51" s="290">
        <v>3461812.42</v>
      </c>
      <c r="H51" s="280"/>
      <c r="I51" s="280"/>
    </row>
    <row r="52" spans="2:9" ht="24.75" x14ac:dyDescent="0.25">
      <c r="B52" s="284">
        <v>50</v>
      </c>
      <c r="C52" s="291" t="s">
        <v>602</v>
      </c>
      <c r="D52" s="288"/>
      <c r="E52" s="286" t="s">
        <v>654</v>
      </c>
      <c r="F52" s="280"/>
      <c r="G52" s="285">
        <v>3180210.85</v>
      </c>
      <c r="H52" s="280"/>
      <c r="I52" s="280"/>
    </row>
    <row r="53" spans="2:9" x14ac:dyDescent="0.25">
      <c r="B53" s="284">
        <v>51</v>
      </c>
      <c r="C53" s="284" t="s">
        <v>58</v>
      </c>
      <c r="D53" s="284" t="s">
        <v>655</v>
      </c>
      <c r="E53" s="280" t="s">
        <v>656</v>
      </c>
      <c r="F53" s="284" t="s">
        <v>14</v>
      </c>
      <c r="G53" s="285">
        <v>1613184.18</v>
      </c>
      <c r="H53" s="280"/>
      <c r="I53" s="280"/>
    </row>
    <row r="54" spans="2:9" x14ac:dyDescent="0.25">
      <c r="B54" s="284">
        <v>52</v>
      </c>
      <c r="C54" s="284" t="s">
        <v>657</v>
      </c>
      <c r="D54" s="284"/>
      <c r="E54" s="280" t="s">
        <v>658</v>
      </c>
      <c r="F54" s="280"/>
      <c r="G54" s="285">
        <v>351649.2</v>
      </c>
      <c r="H54" s="280"/>
      <c r="I54" s="280"/>
    </row>
    <row r="55" spans="2:9" ht="24.75" x14ac:dyDescent="0.25">
      <c r="B55" s="284">
        <v>53</v>
      </c>
      <c r="C55" s="284" t="s">
        <v>657</v>
      </c>
      <c r="D55" s="284" t="s">
        <v>659</v>
      </c>
      <c r="E55" s="286" t="s">
        <v>660</v>
      </c>
      <c r="F55" s="284" t="s">
        <v>14</v>
      </c>
      <c r="G55" s="285">
        <v>327961.3</v>
      </c>
      <c r="H55" s="280"/>
      <c r="I55" s="280"/>
    </row>
    <row r="56" spans="2:9" ht="24.75" x14ac:dyDescent="0.25">
      <c r="B56" s="284">
        <v>54</v>
      </c>
      <c r="C56" s="284" t="s">
        <v>657</v>
      </c>
      <c r="D56" s="284" t="s">
        <v>661</v>
      </c>
      <c r="E56" s="286" t="s">
        <v>662</v>
      </c>
      <c r="F56" s="284" t="s">
        <v>14</v>
      </c>
      <c r="G56" s="285">
        <v>227886.31</v>
      </c>
      <c r="H56" s="280"/>
      <c r="I56" s="280"/>
    </row>
    <row r="57" spans="2:9" ht="24.75" x14ac:dyDescent="0.25">
      <c r="B57" s="284">
        <v>55</v>
      </c>
      <c r="C57" s="284" t="s">
        <v>657</v>
      </c>
      <c r="D57" s="284" t="s">
        <v>663</v>
      </c>
      <c r="E57" s="292" t="s">
        <v>664</v>
      </c>
      <c r="F57" s="284" t="s">
        <v>14</v>
      </c>
      <c r="G57" s="285">
        <v>617968.31999999995</v>
      </c>
      <c r="H57" s="280"/>
      <c r="I57" s="280"/>
    </row>
    <row r="58" spans="2:9" ht="24.75" x14ac:dyDescent="0.25">
      <c r="B58" s="284">
        <v>56</v>
      </c>
      <c r="C58" s="284" t="s">
        <v>657</v>
      </c>
      <c r="D58" s="284" t="s">
        <v>665</v>
      </c>
      <c r="E58" s="286" t="s">
        <v>666</v>
      </c>
      <c r="F58" s="284" t="s">
        <v>14</v>
      </c>
      <c r="G58" s="293">
        <v>550211.98</v>
      </c>
      <c r="H58" s="280"/>
      <c r="I58" s="280"/>
    </row>
    <row r="59" spans="2:9" ht="24.75" x14ac:dyDescent="0.25">
      <c r="B59" s="284">
        <v>57</v>
      </c>
      <c r="C59" s="284" t="s">
        <v>657</v>
      </c>
      <c r="D59" s="284" t="s">
        <v>667</v>
      </c>
      <c r="E59" s="286" t="s">
        <v>664</v>
      </c>
      <c r="F59" s="284" t="s">
        <v>14</v>
      </c>
      <c r="G59" s="285">
        <v>608731.68000000005</v>
      </c>
      <c r="H59" s="280"/>
      <c r="I59" s="280"/>
    </row>
    <row r="60" spans="2:9" x14ac:dyDescent="0.25">
      <c r="B60" s="284">
        <v>58</v>
      </c>
      <c r="C60" s="284" t="s">
        <v>657</v>
      </c>
      <c r="D60" s="284" t="s">
        <v>668</v>
      </c>
      <c r="E60" s="280" t="s">
        <v>669</v>
      </c>
      <c r="F60" s="284" t="s">
        <v>14</v>
      </c>
      <c r="G60" s="285">
        <v>17857.54</v>
      </c>
      <c r="H60" s="280"/>
      <c r="I60" s="280"/>
    </row>
    <row r="61" spans="2:9" x14ac:dyDescent="0.25">
      <c r="B61" s="284">
        <v>59</v>
      </c>
      <c r="C61" s="284" t="s">
        <v>657</v>
      </c>
      <c r="D61" s="284" t="s">
        <v>670</v>
      </c>
      <c r="E61" s="280" t="s">
        <v>671</v>
      </c>
      <c r="F61" s="284" t="s">
        <v>14</v>
      </c>
      <c r="G61" s="285">
        <v>8599.07</v>
      </c>
      <c r="H61" s="280"/>
      <c r="I61" s="280"/>
    </row>
    <row r="62" spans="2:9" x14ac:dyDescent="0.25">
      <c r="B62" s="284">
        <v>60</v>
      </c>
      <c r="C62" s="284" t="s">
        <v>657</v>
      </c>
      <c r="D62" s="284" t="s">
        <v>672</v>
      </c>
      <c r="E62" s="280" t="s">
        <v>673</v>
      </c>
      <c r="F62" s="284" t="s">
        <v>14</v>
      </c>
      <c r="G62" s="285">
        <v>19205.29</v>
      </c>
      <c r="H62" s="280"/>
      <c r="I62" s="280"/>
    </row>
    <row r="63" spans="2:9" x14ac:dyDescent="0.25">
      <c r="B63" s="284">
        <v>61</v>
      </c>
      <c r="C63" s="284" t="s">
        <v>657</v>
      </c>
      <c r="D63" s="284" t="s">
        <v>674</v>
      </c>
      <c r="E63" s="280" t="s">
        <v>675</v>
      </c>
      <c r="F63" s="284" t="s">
        <v>14</v>
      </c>
      <c r="G63" s="285">
        <v>21246.48</v>
      </c>
      <c r="H63" s="280"/>
      <c r="I63" s="280"/>
    </row>
    <row r="64" spans="2:9" x14ac:dyDescent="0.25">
      <c r="B64" s="284">
        <v>62</v>
      </c>
      <c r="C64" s="284" t="s">
        <v>657</v>
      </c>
      <c r="D64" s="284" t="s">
        <v>676</v>
      </c>
      <c r="E64" s="280" t="s">
        <v>677</v>
      </c>
      <c r="F64" s="284" t="s">
        <v>14</v>
      </c>
      <c r="G64" s="285">
        <v>40576.43</v>
      </c>
      <c r="H64" s="280"/>
      <c r="I64" s="280"/>
    </row>
    <row r="65" spans="2:9" x14ac:dyDescent="0.25">
      <c r="B65" s="284">
        <v>63</v>
      </c>
      <c r="C65" s="284" t="s">
        <v>657</v>
      </c>
      <c r="D65" s="284" t="s">
        <v>678</v>
      </c>
      <c r="E65" s="280" t="s">
        <v>679</v>
      </c>
      <c r="F65" s="284" t="s">
        <v>14</v>
      </c>
      <c r="G65" s="285">
        <v>155734.56</v>
      </c>
      <c r="H65" s="280"/>
      <c r="I65" s="280"/>
    </row>
    <row r="66" spans="2:9" x14ac:dyDescent="0.25">
      <c r="B66" s="284">
        <v>64</v>
      </c>
      <c r="C66" s="284" t="s">
        <v>657</v>
      </c>
      <c r="D66" s="284" t="s">
        <v>680</v>
      </c>
      <c r="E66" s="280" t="s">
        <v>681</v>
      </c>
      <c r="F66" s="284" t="s">
        <v>14</v>
      </c>
      <c r="G66" s="285">
        <v>469068.15</v>
      </c>
      <c r="H66" s="280"/>
      <c r="I66" s="280"/>
    </row>
    <row r="67" spans="2:9" x14ac:dyDescent="0.25">
      <c r="B67" s="284">
        <v>65</v>
      </c>
      <c r="C67" s="291" t="s">
        <v>657</v>
      </c>
      <c r="D67" s="284" t="s">
        <v>682</v>
      </c>
      <c r="E67" s="294" t="s">
        <v>683</v>
      </c>
      <c r="F67" s="284" t="s">
        <v>14</v>
      </c>
      <c r="G67" s="285">
        <v>153714.5</v>
      </c>
      <c r="H67" s="280"/>
      <c r="I67" s="280"/>
    </row>
    <row r="68" spans="2:9" x14ac:dyDescent="0.25">
      <c r="B68" s="284">
        <v>66</v>
      </c>
      <c r="C68" s="284" t="s">
        <v>657</v>
      </c>
      <c r="D68" s="284" t="s">
        <v>684</v>
      </c>
      <c r="E68" s="280" t="s">
        <v>683</v>
      </c>
      <c r="F68" s="284" t="s">
        <v>14</v>
      </c>
      <c r="G68" s="285">
        <v>79034.19</v>
      </c>
      <c r="H68" s="280"/>
      <c r="I68" s="280"/>
    </row>
    <row r="69" spans="2:9" x14ac:dyDescent="0.25">
      <c r="B69" s="284">
        <v>67</v>
      </c>
      <c r="C69" s="284" t="s">
        <v>319</v>
      </c>
      <c r="D69" s="284" t="s">
        <v>685</v>
      </c>
      <c r="E69" s="280" t="s">
        <v>686</v>
      </c>
      <c r="F69" s="280"/>
      <c r="G69" s="280"/>
      <c r="H69" s="280"/>
      <c r="I69" s="280" t="s">
        <v>563</v>
      </c>
    </row>
    <row r="70" spans="2:9" x14ac:dyDescent="0.25">
      <c r="B70" s="284">
        <v>68</v>
      </c>
      <c r="C70" s="284" t="s">
        <v>128</v>
      </c>
      <c r="D70" s="284" t="s">
        <v>687</v>
      </c>
      <c r="E70" s="280" t="s">
        <v>688</v>
      </c>
      <c r="F70" s="284" t="s">
        <v>14</v>
      </c>
      <c r="G70" s="285">
        <v>2348067.2400000002</v>
      </c>
      <c r="H70" s="280"/>
      <c r="I70" s="280"/>
    </row>
    <row r="71" spans="2:9" x14ac:dyDescent="0.25">
      <c r="B71" s="284">
        <v>69</v>
      </c>
      <c r="C71" s="284" t="s">
        <v>128</v>
      </c>
      <c r="D71" s="284" t="s">
        <v>689</v>
      </c>
      <c r="E71" s="280" t="s">
        <v>690</v>
      </c>
      <c r="F71" s="280"/>
      <c r="G71" s="280"/>
      <c r="H71" s="280"/>
      <c r="I71" s="280" t="s">
        <v>563</v>
      </c>
    </row>
    <row r="72" spans="2:9" x14ac:dyDescent="0.25">
      <c r="B72" s="284">
        <v>70</v>
      </c>
      <c r="C72" s="284" t="s">
        <v>128</v>
      </c>
      <c r="D72" s="284" t="s">
        <v>691</v>
      </c>
      <c r="E72" s="280" t="s">
        <v>692</v>
      </c>
      <c r="F72" s="284" t="s">
        <v>14</v>
      </c>
      <c r="G72" s="285">
        <v>13230.69</v>
      </c>
      <c r="H72" s="280"/>
      <c r="I72" s="280"/>
    </row>
    <row r="73" spans="2:9" x14ac:dyDescent="0.25">
      <c r="B73" s="284">
        <v>71</v>
      </c>
      <c r="C73" s="284" t="s">
        <v>128</v>
      </c>
      <c r="D73" s="284" t="s">
        <v>693</v>
      </c>
      <c r="E73" s="280" t="s">
        <v>690</v>
      </c>
      <c r="F73" s="284" t="s">
        <v>14</v>
      </c>
      <c r="G73" s="280"/>
      <c r="H73" s="280"/>
      <c r="I73" s="280" t="s">
        <v>563</v>
      </c>
    </row>
    <row r="74" spans="2:9" x14ac:dyDescent="0.25">
      <c r="B74" s="284">
        <v>72</v>
      </c>
      <c r="C74" s="284" t="s">
        <v>128</v>
      </c>
      <c r="D74" s="284" t="s">
        <v>694</v>
      </c>
      <c r="E74" s="280" t="s">
        <v>690</v>
      </c>
      <c r="F74" s="280"/>
      <c r="G74" s="280"/>
      <c r="H74" s="280"/>
      <c r="I74" s="280" t="s">
        <v>563</v>
      </c>
    </row>
    <row r="75" spans="2:9" x14ac:dyDescent="0.25">
      <c r="B75" s="284">
        <v>73</v>
      </c>
      <c r="C75" s="284" t="s">
        <v>128</v>
      </c>
      <c r="D75" s="284" t="s">
        <v>695</v>
      </c>
      <c r="E75" s="280" t="s">
        <v>696</v>
      </c>
      <c r="F75" s="280"/>
      <c r="G75" s="285">
        <v>271476.32</v>
      </c>
      <c r="H75" s="280"/>
      <c r="I75" s="280"/>
    </row>
    <row r="76" spans="2:9" x14ac:dyDescent="0.25">
      <c r="B76" s="284">
        <v>74</v>
      </c>
      <c r="C76" s="284" t="s">
        <v>128</v>
      </c>
      <c r="D76" s="284" t="s">
        <v>697</v>
      </c>
      <c r="E76" s="280" t="s">
        <v>698</v>
      </c>
      <c r="F76" s="280"/>
      <c r="G76" s="280"/>
      <c r="H76" s="280"/>
      <c r="I76" s="280" t="s">
        <v>563</v>
      </c>
    </row>
    <row r="77" spans="2:9" ht="24.75" x14ac:dyDescent="0.25">
      <c r="B77" s="284">
        <v>75</v>
      </c>
      <c r="C77" s="284" t="s">
        <v>128</v>
      </c>
      <c r="D77" s="284" t="s">
        <v>699</v>
      </c>
      <c r="E77" s="286" t="s">
        <v>700</v>
      </c>
      <c r="F77" s="280"/>
      <c r="G77" s="280"/>
      <c r="H77" s="280"/>
      <c r="I77" s="280" t="s">
        <v>563</v>
      </c>
    </row>
    <row r="78" spans="2:9" x14ac:dyDescent="0.25">
      <c r="B78" s="291"/>
      <c r="C78" s="291"/>
      <c r="D78" s="291"/>
      <c r="E78" s="289"/>
      <c r="F78" s="289"/>
      <c r="G78" s="289"/>
      <c r="H78" s="289"/>
      <c r="I78" s="289"/>
    </row>
    <row r="79" spans="2:9" x14ac:dyDescent="0.25">
      <c r="B79" s="291"/>
      <c r="C79" s="291"/>
      <c r="D79" s="291"/>
      <c r="E79" s="289"/>
      <c r="F79" s="289"/>
      <c r="G79" s="295">
        <f>SUM(G3:G77)</f>
        <v>175628904.19999996</v>
      </c>
      <c r="H79" s="289"/>
      <c r="I79" s="289"/>
    </row>
    <row r="80" spans="2:9" x14ac:dyDescent="0.25">
      <c r="B80" s="291"/>
      <c r="C80" s="291"/>
      <c r="D80" s="291"/>
      <c r="E80" s="289"/>
      <c r="F80" s="289"/>
      <c r="G80" s="289"/>
      <c r="H80" s="289"/>
      <c r="I80" s="289"/>
    </row>
    <row r="81" spans="2:9" x14ac:dyDescent="0.25">
      <c r="B81" s="291"/>
      <c r="C81" s="291"/>
      <c r="D81" s="291"/>
      <c r="E81" s="289"/>
      <c r="F81" s="289"/>
      <c r="G81" s="289"/>
      <c r="H81" s="289"/>
      <c r="I81" s="289"/>
    </row>
    <row r="82" spans="2:9" x14ac:dyDescent="0.25">
      <c r="B82" s="291"/>
      <c r="C82" s="291"/>
      <c r="D82" s="291"/>
      <c r="E82" s="289"/>
      <c r="F82" s="289"/>
      <c r="G82" s="289"/>
      <c r="H82" s="289"/>
      <c r="I82" s="289"/>
    </row>
  </sheetData>
  <pageMargins left="0.70078740157480324" right="0.70078740157480324" top="0.75196850393700776" bottom="0.75196850393700776" header="0.3" footer="0.3"/>
  <pageSetup paperSize="9" scale="53" fitToHeight="0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График ИТД</vt:lpstr>
      <vt:lpstr>Гр. ВОР</vt:lpstr>
      <vt:lpstr>Доп.работы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PTO13</dc:creator>
  <cp:lastModifiedBy>Сафиуллина Раиля Кадимовна</cp:lastModifiedBy>
  <cp:revision>35</cp:revision>
  <cp:lastPrinted>2026-02-20T11:30:54Z</cp:lastPrinted>
  <dcterms:created xsi:type="dcterms:W3CDTF">2015-06-05T18:19:34Z</dcterms:created>
  <dcterms:modified xsi:type="dcterms:W3CDTF">2026-02-20T12:08:33Z</dcterms:modified>
</cp:coreProperties>
</file>